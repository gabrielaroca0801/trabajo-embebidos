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31af55ae5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l.bom" sheetId="1" r:id="R592b1a4e5aad4f47"/>
    <x:sheet xmlns:r="http://schemas.openxmlformats.org/officeDocument/2006/relationships" name="Datasheets" sheetId="2" r:id="R810cbf0648b34743"/>
    <x:sheet xmlns:r="http://schemas.openxmlformats.org/officeDocument/2006/relationships" name="Resumen" sheetId="3" r:id="R6040769aeba0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 #,##0.00"/>
  </x:numFmts>
  <x:fonts count="38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7"/>
      <x:color theme="1"/>
      <x:name val="Arial"/>
    </x:font>
    <x:font>
      <x:b/>
      <x:sz val="7"/>
      <x:color indexed="8"/>
      <x:name val="Arial"/>
    </x:font>
    <x:font>
      <x:sz val="8"/>
      <x:color rgb="FF000000"/>
      <x:name val="Verdana"/>
    </x:font>
    <x:font>
      <x:sz val="11"/>
      <x:color theme="10"/>
      <x:name val="Calibri"/>
    </x:font>
    <x:font>
      <x:sz val="12"/>
      <x:color theme="1"/>
      <x:name val="Calibri"/>
    </x:font>
    <x:font>
      <x:sz val="9"/>
      <x:color rgb="FF333333"/>
      <x:name val="Arial"/>
    </x:font>
    <x:font>
      <x:sz val="9"/>
      <x:color rgb="FF000000"/>
      <x:name val="Arial"/>
    </x:font>
    <x:font>
      <x:sz val="9"/>
      <x:color rgb="FF222222"/>
      <x:name val="Arial"/>
    </x:font>
    <x:font>
      <x:b/>
      <x:sz val="16"/>
      <x:color rgb="FFFFFFFF"/>
      <x:name val="Calibri"/>
    </x:font>
    <x:font>
      <x:i/>
      <x:sz val="10"/>
      <x:color rgb="FF3B2F2F"/>
      <x:name val="Calibri"/>
    </x:font>
    <x:font>
      <x:b/>
      <x:sz val="9"/>
      <x:color rgb="FF5D4037"/>
      <x:name val="Arial"/>
    </x:font>
    <x:font>
      <x:b/>
      <x:sz val="10"/>
      <x:color rgb="FFFFFFFF"/>
      <x:name val="Calibri"/>
    </x:font>
    <x:font>
      <x:b/>
      <x:sz val="10"/>
      <x:color rgb="FFFFFFFF"/>
      <x:name val="Arial"/>
    </x:font>
    <x:font>
      <x:sz val="9"/>
      <x:color theme="1"/>
      <x:name val="Calibri"/>
    </x:font>
    <x:font>
      <x:sz val="9"/>
      <x:color theme="10"/>
      <x:name val="Calibri"/>
    </x:font>
    <x:font>
      <x:sz val="9"/>
      <x:color rgb="FF000000"/>
      <x:name val="Verdana"/>
    </x:font>
    <x:font>
      <x:b/>
      <x:sz val="12"/>
      <x:color rgb="FFFFFFFF"/>
      <x:name val="Calibri"/>
    </x:font>
    <x:font>
      <x:b/>
      <x:sz val="11"/>
      <x:color rgb="FF3B2F2F"/>
      <x:name val="Calibri"/>
    </x:font>
    <x:font>
      <x:i/>
      <x:sz val="11"/>
      <x:color rgb="FF5D4037"/>
      <x:name val="Calibri"/>
    </x:font>
    <x:font>
      <x:b/>
      <x:sz val="11"/>
      <x:color rgb="FFFFFFFF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9" tint="0.59999"/>
      </x:patternFill>
    </x:fill>
    <x:fill>
      <x:patternFill patternType="solid">
        <x:fgColor theme="9" tint="0.59999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3B2F2F"/>
      </x:patternFill>
    </x:fill>
    <x:fill>
      <x:patternFill patternType="solid">
        <x:fgColor rgb="FFE8DED0"/>
      </x:patternFill>
    </x:fill>
    <x:fill>
      <x:patternFill patternType="solid">
        <x:fgColor rgb="FFF8F4EE"/>
      </x:patternFill>
    </x:fill>
    <x:fill>
      <x:patternFill patternType="solid">
        <x:fgColor rgb="FF6D4C41"/>
      </x:patternFill>
    </x:fill>
    <x:fill>
      <x:patternFill patternType="solid">
        <x:fgColor rgb="FFC9892B"/>
      </x:patternFill>
    </x:fill>
  </x:fills>
  <x:borders count="35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top style="thin">
        <x:color indexed="8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top style="thin">
        <x:color indexed="8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</x:border>
    <x:border>
      <x:top style="thin">
        <x:color indexed="64"/>
      </x:top>
      <x:bottom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</x:border>
    <x:border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</x:border>
    <x:border>
      <x:left style="thin">
        <x:color indexed="64"/>
      </x:left>
      <x:right/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</x:border>
    <x:border>
      <x:left style="thin">
        <x:color indexed="64"/>
      </x:left>
      <x:right/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/>
    </x:border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21" fillId="0" borderId="0" applyNumberFormat="0" applyFill="0" applyBorder="0" applyAlignment="0" applyProtection="0">
      <x:alignment vertical="top"/>
      <x:protection locked="0"/>
    </x:xf>
  </x:cellStyleXfs>
  <x:cellXfs count="375">
    <x:xf numFmtId="0" fontId="0" fillId="0" borderId="0" xfId="0"/>
    <x:xf numFmtId="0" fontId="0" fillId="0" borderId="10" xfId="0" applyBorder="1"/>
    <x:xf numFmtId="0" fontId="0" fillId="0" borderId="10" xfId="0" applyBorder="1" applyAlignment="1">
      <x:alignment horizontal="center"/>
    </x:xf>
    <x:xf numFmtId="0" fontId="0" fillId="0" borderId="0" xfId="0" applyAlignment="1">
      <x:alignment horizontal="center"/>
    </x:xf>
    <x:xf numFmtId="0" fontId="19" fillId="33" borderId="12" xfId="0" applyNumberFormat="1" applyFont="1" applyFill="1" applyBorder="1" applyAlignment="1">
      <x:alignment horizontal="center" vertical="center" wrapText="1"/>
    </x:xf>
    <x:xf numFmtId="0" fontId="19" fillId="33" borderId="13" xfId="0" applyNumberFormat="1" applyFont="1" applyFill="1" applyBorder="1" applyAlignment="1">
      <x:alignment horizontal="center" vertical="center" wrapText="1"/>
    </x:xf>
    <x:xf numFmtId="0" fontId="20" fillId="0" borderId="0" xfId="0" applyFont="1"/>
    <x:xf numFmtId="0" fontId="0" fillId="36" borderId="10" xfId="0" applyFill="1" applyBorder="1"/>
    <x:xf numFmtId="0" fontId="21" fillId="0" borderId="0" xfId="42" applyAlignment="1">
      <x:alignment horizontal="left"/>
    </x:xf>
    <x:xf numFmtId="0" fontId="21" fillId="0" borderId="0" xfId="42" applyAlignment="1">
      <x:alignment horizontal="center"/>
    </x:xf>
    <x:xf numFmtId="0" fontId="21" fillId="0" borderId="0" xfId="42" applyAlignment="1"/>
    <x:xf numFmtId="0" fontId="0" fillId="0" borderId="10" xfId="0" applyFill="1" applyBorder="1"/>
    <x:xf numFmtId="0" fontId="0" fillId="0" borderId="10" xfId="0" applyFill="1" applyBorder="1" applyAlignment="1">
      <x:alignment horizontal="center"/>
    </x:xf>
    <x:xf numFmtId="0" fontId="18" fillId="33" borderId="11" xfId="0" applyFont="1" applyFill="1" applyBorder="1" applyAlignment="1">
      <x:alignment horizontal="center" vertical="center"/>
    </x:xf>
    <x:xf numFmtId="0" fontId="19" fillId="34" borderId="11" xfId="0" applyNumberFormat="1" applyFont="1" applyFill="1" applyBorder="1" applyAlignment="1">
      <x:alignment horizontal="center" vertical="center" wrapText="1"/>
    </x:xf>
    <x:xf numFmtId="0" fontId="19" fillId="35" borderId="11" xfId="0" applyNumberFormat="1" applyFont="1" applyFill="1" applyBorder="1" applyAlignment="1">
      <x:alignment horizontal="center" vertical="center" wrapText="1"/>
    </x:xf>
    <x:xf numFmtId="0" fontId="20" fillId="0" borderId="10" xfId="0" applyFont="1" applyBorder="1"/>
    <x:xf numFmtId="0" fontId="21" fillId="0" borderId="10" xfId="42" applyBorder="1" applyAlignment="1">
      <x:alignment horizontal="left"/>
    </x:xf>
    <x:xf numFmtId="0" fontId="21" fillId="0" borderId="10" xfId="42" applyBorder="1" applyAlignment="1">
      <x:alignment horizontal="center"/>
    </x:xf>
    <x:xf numFmtId="0" fontId="20" fillId="0" borderId="10" xfId="0" applyFont="1" applyBorder="1" applyAlignment="1">
      <x:alignment horizontal="left"/>
    </x:xf>
    <x:xf numFmtId="0" fontId="21" fillId="0" borderId="10" xfId="42" applyBorder="1" applyAlignment="1"/>
    <x:xf numFmtId="0" fontId="21" fillId="0" borderId="10" xfId="42" applyFill="1" applyBorder="1" applyAlignment="1">
      <x:alignment horizontal="center"/>
    </x:xf>
    <x:xf numFmtId="0" fontId="20" fillId="0" borderId="10" xfId="0" applyFont="1" applyFill="1" applyBorder="1"/>
    <x:xf numFmtId="0" fontId="21" fillId="0" borderId="10" xfId="42" applyFill="1" applyBorder="1" applyAlignment="1">
      <x:alignment horizontal="left"/>
    </x:xf>
    <x:xf numFmtId="0" fontId="22" fillId="0" borderId="10" xfId="0" applyFont="1" applyBorder="1"/>
    <x:xf numFmtId="0" fontId="20" fillId="0" borderId="0" xfId="0" applyFont="1" applyAlignment="1">
      <x:alignment horizontal="left"/>
    </x:xf>
    <x:xf numFmtId="0" fontId="0" fillId="0" borderId="0" xfId="0"/>
    <x:xf numFmtId="0" fontId="0" fillId="0" borderId="0" xfId="0"/>
    <x:xf numFmtId="0" fontId="0" fillId="0" borderId="0" xfId="0"/>
    <x:xf numFmtId="0" fontId="0" fillId="33" borderId="10" xfId="0" applyFill="1" applyBorder="1" applyAlignment="1">
      <x:alignment horizontal="center"/>
    </x:xf>
    <x:xf numFmtId="0" fontId="20" fillId="0" borderId="14" xfId="0" applyFont="1" applyBorder="1"/>
    <x:xf numFmtId="0" fontId="0" fillId="0" borderId="14" xfId="0" applyBorder="1" applyAlignment="1">
      <x:alignment horizontal="center"/>
    </x:xf>
    <x:xf numFmtId="0" fontId="0" fillId="0" borderId="14" xfId="0" applyBorder="1"/>
    <x:xf numFmtId="0" fontId="23" fillId="0" borderId="0" xfId="0" applyFont="1"/>
    <x:xf numFmtId="0" fontId="24" fillId="0" borderId="0" xfId="0" applyFont="1" applyAlignment="1">
      <x:alignment horizontal="left" vertical="center" wrapText="1"/>
    </x:xf>
    <x:xf numFmtId="0" fontId="21" fillId="0" borderId="0" xfId="42" applyAlignment="1">
      <x:alignment horizontal="left" vertical="center" wrapText="1"/>
    </x:xf>
    <x:xf numFmtId="0" fontId="25" fillId="0" borderId="0" xfId="0" applyFont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19" fillId="31" borderId="17" xfId="0" applyNumberFormat="1" applyFont="1" applyFill="1" applyBorder="1" applyAlignment="1">
      <x:alignment horizontal="center" vertical="center" wrapText="1"/>
    </x:xf>
    <x:xf numFmtId="0" fontId="19" fillId="31" borderId="18" xfId="0" applyNumberFormat="1" applyFont="1" applyFill="1" applyBorder="1" applyAlignment="1">
      <x:alignment horizontal="center" vertical="center" wrapText="1"/>
    </x:xf>
    <x:xf numFmtId="0" fontId="20" fillId="0" borderId="15" xfId="0" applyNumberFormat="1" applyFont="1" applyFill="1" applyBorder="1"/>
    <x:xf numFmtId="0" fontId="0" fillId="35" borderId="16" xfId="0" applyNumberFormat="1" applyFont="1" applyFill="1" applyBorder="1"/>
    <x:xf numFmtId="0" fontId="21" fillId="0" borderId="15" xfId="0" applyNumberFormat="1" applyFont="1" applyFill="1" applyBorder="1" applyAlignment="1">
      <x:alignment horizontal="left"/>
    </x:xf>
    <x:xf numFmtId="0" fontId="21" fillId="0" borderId="15" xfId="0" applyNumberFormat="1" applyFont="1" applyFill="1" applyBorder="1" applyAlignment="1">
      <x:alignment horizontal="center"/>
    </x:xf>
    <x:xf numFmtId="0" fontId="21" fillId="0" borderId="15" xfId="0" applyNumberFormat="1" applyFont="1" applyFill="1" applyBorder="1"/>
    <x:xf numFmtId="0" fontId="18" fillId="31" borderId="19" xfId="0" applyNumberFormat="1" applyFont="1" applyFill="1" applyBorder="1" applyAlignment="1">
      <x:alignment horizontal="center" vertical="center"/>
    </x:xf>
    <x:xf numFmtId="0" fontId="19" fillId="31" borderId="19" xfId="0" applyNumberFormat="1" applyFont="1" applyFill="1" applyBorder="1" applyAlignment="1">
      <x:alignment horizontal="center" vertical="center" wrapText="1"/>
    </x:xf>
    <x:xf numFmtId="0" fontId="19" fillId="35" borderId="19" xfId="0" applyNumberFormat="1" applyFont="1" applyFill="1" applyBorder="1" applyAlignment="1">
      <x:alignment horizontal="center" vertical="center" wrapText="1"/>
    </x:xf>
    <x:xf numFmtId="0" fontId="20" fillId="0" borderId="16" xfId="0" applyNumberFormat="1" applyFont="1" applyFill="1" applyBorder="1"/>
    <x:xf numFmtId="0" fontId="21" fillId="0" borderId="16" xfId="0" applyNumberFormat="1" applyFont="1" applyFill="1" applyBorder="1" applyAlignment="1">
      <x:alignment horizontal="left"/>
    </x:xf>
    <x:xf numFmtId="0" fontId="21" fillId="0" borderId="16" xfId="0" applyNumberFormat="1" applyFont="1" applyFill="1" applyBorder="1" applyAlignment="1">
      <x:alignment horizontal="center"/>
    </x:xf>
    <x:xf numFmtId="0" fontId="20" fillId="0" borderId="16" xfId="0" applyNumberFormat="1" applyFont="1" applyFill="1" applyBorder="1" applyAlignment="1">
      <x:alignment horizontal="left"/>
    </x:xf>
    <x:xf numFmtId="0" fontId="21" fillId="0" borderId="16" xfId="0" applyNumberFormat="1" applyFont="1" applyFill="1" applyBorder="1"/>
    <x:xf numFmtId="0" fontId="22" fillId="0" borderId="16" xfId="0" applyNumberFormat="1" applyFont="1" applyFill="1" applyBorder="1"/>
    <x:xf numFmtId="0" fontId="20" fillId="0" borderId="15" xfId="0" applyNumberFormat="1" applyFont="1" applyFill="1" applyBorder="1" applyAlignment="1">
      <x:alignment horizontal="left"/>
    </x:xf>
    <x:xf numFmtId="0" fontId="0" fillId="31" borderId="16" xfId="0" applyNumberFormat="1" applyFont="1" applyFill="1" applyBorder="1" applyAlignment="1">
      <x:alignment horizontal="center"/>
    </x:xf>
    <x:xf numFmtId="0" fontId="20" fillId="0" borderId="20" xfId="0" applyNumberFormat="1" applyFont="1" applyFill="1" applyBorder="1"/>
    <x:xf numFmtId="0" fontId="0" fillId="0" borderId="20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23" fillId="0" borderId="15" xfId="0" applyNumberFormat="1" applyFont="1" applyFill="1" applyBorder="1"/>
    <x:xf numFmtId="0" fontId="24" fillId="0" borderId="15" xfId="0" applyNumberFormat="1" applyFont="1" applyFill="1" applyBorder="1" applyAlignment="1">
      <x:alignment horizontal="left" vertical="center" wrapText="1"/>
    </x:xf>
    <x:xf numFmtId="0" fontId="21" fillId="0" borderId="15" xfId="0" applyNumberFormat="1" applyFont="1" applyFill="1" applyBorder="1" applyAlignment="1">
      <x:alignment horizontal="left" vertical="center" wrapText="1"/>
    </x:xf>
    <x:xf numFmtId="0" fontId="25" fillId="0" borderId="15" xfId="0" applyNumberFormat="1" applyFont="1" applyFill="1" applyBorder="1"/>
    <x:xf numFmtId="0" fontId="0" fillId="37" borderId="0" xfId="0" applyNumberFormat="1" applyFont="1" applyFill="1" applyBorder="1"/>
    <x:xf numFmtId="0" fontId="26" fillId="37" borderId="0" xfId="0" applyNumberFormat="1" applyFont="1" applyFill="1" applyBorder="1"/>
    <x:xf numFmtId="0" fontId="26" fillId="37" borderId="0" xfId="0" applyNumberFormat="1" applyFont="1" applyFill="1" applyBorder="1" applyAlignment="1">
      <x:alignment horizontal="center"/>
    </x:xf>
    <x:xf numFmtId="0" fontId="26" fillId="37" borderId="0" xfId="0" applyNumberFormat="1" applyFont="1" applyFill="1" applyBorder="1" applyAlignment="1">
      <x:alignment horizontal="center" vertical="center"/>
    </x:xf>
    <x:xf numFmtId="0" fontId="0" fillId="37" borderId="15" xfId="0" applyNumberFormat="1" applyFont="1" applyFill="1" applyBorder="1"/>
    <x:xf numFmtId="0" fontId="26" fillId="37" borderId="15" xfId="0" applyNumberFormat="1" applyFont="1" applyFill="1" applyBorder="1"/>
    <x:xf numFmtId="0" fontId="26" fillId="37" borderId="15" xfId="0" applyNumberFormat="1" applyFont="1" applyFill="1" applyBorder="1" applyAlignment="1">
      <x:alignment horizontal="center"/>
    </x:xf>
    <x:xf numFmtId="0" fontId="26" fillId="37" borderId="15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0" fillId="38" borderId="0" xfId="0" applyNumberFormat="1" applyFont="1" applyFill="1" applyBorder="1" applyAlignment="1">
      <x:alignment horizontal="center"/>
    </x:xf>
    <x:xf numFmtId="0" fontId="0" fillId="38" borderId="10" xfId="0" applyNumberFormat="1" applyFont="1" applyFill="1" applyBorder="1" applyAlignment="1">
      <x:alignment horizontal="center"/>
    </x:xf>
    <x:xf numFmtId="0" fontId="27" fillId="38" borderId="0" xfId="0" applyNumberFormat="1" applyFont="1" applyFill="1" applyBorder="1"/>
    <x:xf numFmtId="0" fontId="27" fillId="38" borderId="0" xfId="0" applyNumberFormat="1" applyFont="1" applyFill="1" applyBorder="1" applyAlignment="1">
      <x:alignment horizontal="center"/>
    </x:xf>
    <x:xf numFmtId="0" fontId="27" fillId="38" borderId="10" xfId="0" applyNumberFormat="1" applyFont="1" applyFill="1" applyBorder="1" applyAlignment="1">
      <x:alignment horizontal="center"/>
    </x:xf>
    <x:xf numFmtId="0" fontId="27" fillId="38" borderId="0" xfId="0" applyNumberFormat="1" applyFont="1" applyFill="1" applyBorder="1" applyAlignment="1">
      <x:alignment wrapText="1"/>
    </x:xf>
    <x:xf numFmtId="0" fontId="27" fillId="38" borderId="0" xfId="0" applyNumberFormat="1" applyFont="1" applyFill="1" applyBorder="1" applyAlignment="1">
      <x:alignment horizontal="center" wrapText="1"/>
    </x:xf>
    <x:xf numFmtId="0" fontId="27" fillId="38" borderId="10" xfId="0" applyNumberFormat="1" applyFont="1" applyFill="1" applyBorder="1" applyAlignment="1">
      <x:alignment horizontal="center" wrapText="1"/>
    </x:xf>
    <x:xf numFmtId="0" fontId="27" fillId="38" borderId="0" xfId="0" applyNumberFormat="1" applyFont="1" applyFill="1" applyBorder="1" applyAlignment="1">
      <x:alignment horizontal="center" vertical="center" wrapText="1"/>
    </x:xf>
    <x:xf numFmtId="0" fontId="27" fillId="38" borderId="10" xfId="0" applyNumberFormat="1" applyFont="1" applyFill="1" applyBorder="1" applyAlignment="1">
      <x:alignment horizontal="center" vertical="center" wrapText="1"/>
    </x:xf>
    <x:xf numFmtId="0" fontId="0" fillId="38" borderId="15" xfId="0" applyNumberFormat="1" applyFont="1" applyFill="1" applyBorder="1"/>
    <x:xf numFmtId="0" fontId="0" fillId="38" borderId="15" xfId="0" applyNumberFormat="1" applyFont="1" applyFill="1" applyBorder="1" applyAlignment="1">
      <x:alignment horizontal="center"/>
    </x:xf>
    <x:xf numFmtId="0" fontId="0" fillId="38" borderId="16" xfId="0" applyNumberFormat="1" applyFont="1" applyFill="1" applyBorder="1" applyAlignment="1">
      <x:alignment horizontal="center"/>
    </x:xf>
    <x:xf numFmtId="0" fontId="27" fillId="38" borderId="15" xfId="0" applyNumberFormat="1" applyFont="1" applyFill="1" applyBorder="1"/>
    <x:xf numFmtId="0" fontId="27" fillId="38" borderId="15" xfId="0" applyNumberFormat="1" applyFont="1" applyFill="1" applyBorder="1" applyAlignment="1">
      <x:alignment horizontal="center"/>
    </x:xf>
    <x:xf numFmtId="0" fontId="27" fillId="38" borderId="16" xfId="0" applyNumberFormat="1" applyFont="1" applyFill="1" applyBorder="1" applyAlignment="1">
      <x:alignment horizontal="center"/>
    </x:xf>
    <x:xf numFmtId="0" fontId="27" fillId="38" borderId="15" xfId="0" applyNumberFormat="1" applyFont="1" applyFill="1" applyBorder="1" applyAlignment="1">
      <x:alignment wrapText="1"/>
    </x:xf>
    <x:xf numFmtId="0" fontId="27" fillId="38" borderId="15" xfId="0" applyNumberFormat="1" applyFont="1" applyFill="1" applyBorder="1" applyAlignment="1">
      <x:alignment horizontal="center" wrapText="1"/>
    </x:xf>
    <x:xf numFmtId="0" fontId="27" fillId="38" borderId="16" xfId="0" applyNumberFormat="1" applyFont="1" applyFill="1" applyBorder="1" applyAlignment="1">
      <x:alignment horizontal="center" wrapText="1"/>
    </x:xf>
    <x:xf numFmtId="0" fontId="27" fillId="38" borderId="15" xfId="0" applyNumberFormat="1" applyFont="1" applyFill="1" applyBorder="1" applyAlignment="1">
      <x:alignment horizontal="center" vertical="center" wrapText="1"/>
    </x:xf>
    <x:xf numFmtId="0" fontId="27" fillId="38" borderId="16" xfId="0" applyNumberFormat="1" applyFont="1" applyFill="1" applyBorder="1" applyAlignment="1">
      <x:alignment horizontal="center" vertical="center" wrapText="1"/>
    </x:xf>
    <x:xf numFmtId="0" fontId="18" fillId="39" borderId="11" xfId="0" applyNumberFormat="1" applyFont="1" applyFill="1" applyBorder="1" applyAlignment="1">
      <x:alignment horizontal="center" vertical="center"/>
    </x:xf>
    <x:xf numFmtId="0" fontId="19" fillId="39" borderId="12" xfId="0" applyNumberFormat="1" applyFont="1" applyFill="1" applyBorder="1" applyAlignment="1">
      <x:alignment horizontal="center" vertical="center" wrapText="1"/>
    </x:xf>
    <x:xf numFmtId="0" fontId="19" fillId="39" borderId="13" xfId="0" applyNumberFormat="1" applyFont="1" applyFill="1" applyBorder="1" applyAlignment="1">
      <x:alignment horizontal="center" vertical="center" wrapText="1"/>
    </x:xf>
    <x:xf numFmtId="0" fontId="19" fillId="39" borderId="11" xfId="0" applyNumberFormat="1" applyFont="1" applyFill="1" applyBorder="1" applyAlignment="1">
      <x:alignment horizontal="center" vertical="center" wrapText="1"/>
    </x:xf>
    <x:xf numFmtId="0" fontId="28" fillId="39" borderId="11" xfId="0" applyNumberFormat="1" applyFont="1" applyFill="1" applyBorder="1" applyAlignment="1">
      <x:alignment horizontal="center" vertical="center"/>
    </x:xf>
    <x:xf numFmtId="0" fontId="28" fillId="39" borderId="12" xfId="0" applyNumberFormat="1" applyFont="1" applyFill="1" applyBorder="1" applyAlignment="1">
      <x:alignment horizontal="center" vertical="center" wrapText="1"/>
    </x:xf>
    <x:xf numFmtId="0" fontId="28" fillId="39" borderId="13" xfId="0" applyNumberFormat="1" applyFont="1" applyFill="1" applyBorder="1" applyAlignment="1">
      <x:alignment horizontal="center" vertical="center" wrapText="1"/>
    </x:xf>
    <x:xf numFmtId="0" fontId="28" fillId="39" borderId="11" xfId="0" applyNumberFormat="1" applyFont="1" applyFill="1" applyBorder="1" applyAlignment="1">
      <x:alignment horizontal="center" vertical="center" wrapText="1"/>
    </x:xf>
    <x:xf numFmtId="0" fontId="18" fillId="39" borderId="19" xfId="0" applyNumberFormat="1" applyFont="1" applyFill="1" applyBorder="1" applyAlignment="1">
      <x:alignment horizontal="center" vertical="center"/>
    </x:xf>
    <x:xf numFmtId="0" fontId="19" fillId="39" borderId="17" xfId="0" applyNumberFormat="1" applyFont="1" applyFill="1" applyBorder="1" applyAlignment="1">
      <x:alignment horizontal="center" vertical="center" wrapText="1"/>
    </x:xf>
    <x:xf numFmtId="0" fontId="19" fillId="39" borderId="18" xfId="0" applyNumberFormat="1" applyFont="1" applyFill="1" applyBorder="1" applyAlignment="1">
      <x:alignment horizontal="center" vertical="center" wrapText="1"/>
    </x:xf>
    <x:xf numFmtId="0" fontId="19" fillId="39" borderId="19" xfId="0" applyNumberFormat="1" applyFont="1" applyFill="1" applyBorder="1" applyAlignment="1">
      <x:alignment horizontal="center" vertical="center" wrapText="1"/>
    </x:xf>
    <x:xf numFmtId="0" fontId="28" fillId="39" borderId="19" xfId="0" applyNumberFormat="1" applyFont="1" applyFill="1" applyBorder="1" applyAlignment="1">
      <x:alignment horizontal="center" vertical="center"/>
    </x:xf>
    <x:xf numFmtId="0" fontId="28" fillId="39" borderId="17" xfId="0" applyNumberFormat="1" applyFont="1" applyFill="1" applyBorder="1" applyAlignment="1">
      <x:alignment horizontal="center" vertical="center" wrapText="1"/>
    </x:xf>
    <x:xf numFmtId="0" fontId="28" fillId="39" borderId="18" xfId="0" applyNumberFormat="1" applyFont="1" applyFill="1" applyBorder="1" applyAlignment="1">
      <x:alignment horizontal="center" vertical="center" wrapText="1"/>
    </x:xf>
    <x:xf numFmtId="0" fontId="28" fillId="39" borderId="19" xfId="0" applyNumberFormat="1" applyFont="1" applyFill="1" applyBorder="1" applyAlignment="1">
      <x:alignment horizontal="center" vertical="center" wrapText="1"/>
    </x:xf>
    <x:xf numFmtId="0" fontId="0" fillId="40" borderId="10" xfId="0" applyNumberFormat="1" applyFont="1" applyFill="1" applyBorder="1"/>
    <x:xf numFmtId="0" fontId="0" fillId="40" borderId="10" xfId="0" applyNumberFormat="1" applyFont="1" applyFill="1" applyBorder="1" applyAlignment="1">
      <x:alignment horizontal="center"/>
    </x:xf>
    <x:xf numFmtId="0" fontId="23" fillId="40" borderId="0" xfId="0" applyNumberFormat="1" applyFont="1" applyFill="1" applyBorder="1"/>
    <x:xf numFmtId="0" fontId="25" fillId="40" borderId="0" xfId="0" applyNumberFormat="1" applyFont="1" applyFill="1" applyBorder="1"/>
    <x:xf numFmtId="0" fontId="21" fillId="40" borderId="0" xfId="0" applyNumberFormat="1" applyFont="1" applyFill="1" applyBorder="1" applyAlignment="1">
      <x:alignment horizontal="left" vertical="center" wrapText="1"/>
    </x:xf>
    <x:xf numFmtId="0" fontId="24" fillId="40" borderId="0" xfId="0" applyNumberFormat="1" applyFont="1" applyFill="1" applyBorder="1" applyAlignment="1">
      <x:alignment horizontal="left" vertical="center" wrapText="1"/>
    </x:xf>
    <x:xf numFmtId="0" fontId="29" fillId="40" borderId="10" xfId="0" applyNumberFormat="1" applyFont="1" applyFill="1" applyBorder="1"/>
    <x:xf numFmtId="0" fontId="29" fillId="40" borderId="10" xfId="0" applyNumberFormat="1" applyFont="1" applyFill="1" applyBorder="1" applyAlignment="1">
      <x:alignment horizontal="center"/>
    </x:xf>
    <x:xf numFmtId="0" fontId="30" fillId="40" borderId="0" xfId="0" applyNumberFormat="1" applyFont="1" applyFill="1" applyBorder="1"/>
    <x:xf numFmtId="0" fontId="29" fillId="40" borderId="0" xfId="0" applyNumberFormat="1" applyFont="1" applyFill="1" applyBorder="1" applyAlignment="1">
      <x:alignment horizontal="left" vertical="center" wrapText="1"/>
    </x:xf>
    <x:xf numFmtId="0" fontId="30" fillId="40" borderId="0" xfId="0" applyNumberFormat="1" applyFont="1" applyFill="1" applyBorder="1" applyAlignment="1">
      <x:alignment horizontal="left" vertical="center" wrapText="1"/>
    </x:xf>
    <x:xf numFmtId="0" fontId="29" fillId="40" borderId="21" xfId="0" applyNumberFormat="1" applyFont="1" applyFill="1" applyBorder="1"/>
    <x:xf numFmtId="0" fontId="29" fillId="40" borderId="21" xfId="0" applyNumberFormat="1" applyFont="1" applyFill="1" applyBorder="1" applyAlignment="1">
      <x:alignment horizontal="center"/>
    </x:xf>
    <x:xf numFmtId="0" fontId="30" fillId="40" borderId="22" xfId="0" applyNumberFormat="1" applyFont="1" applyFill="1" applyBorder="1"/>
    <x:xf numFmtId="0" fontId="29" fillId="40" borderId="22" xfId="0" applyNumberFormat="1" applyFont="1" applyFill="1" applyBorder="1" applyAlignment="1">
      <x:alignment horizontal="left" vertical="center" wrapText="1"/>
    </x:xf>
    <x:xf numFmtId="0" fontId="30" fillId="40" borderId="22" xfId="0" applyNumberFormat="1" applyFont="1" applyFill="1" applyBorder="1" applyAlignment="1">
      <x:alignment horizontal="left" vertical="center" wrapText="1"/>
    </x:xf>
    <x:xf numFmtId="0" fontId="29" fillId="40" borderId="21" xfId="0" applyNumberFormat="1" applyFont="1" applyFill="1" applyBorder="1" applyAlignment="1">
      <x:alignment wrapText="1"/>
    </x:xf>
    <x:xf numFmtId="0" fontId="29" fillId="40" borderId="21" xfId="0" applyNumberFormat="1" applyFont="1" applyFill="1" applyBorder="1" applyAlignment="1">
      <x:alignment horizontal="center" wrapText="1"/>
    </x:xf>
    <x:xf numFmtId="0" fontId="30" fillId="40" borderId="22" xfId="0" applyNumberFormat="1" applyFont="1" applyFill="1" applyBorder="1" applyAlignment="1">
      <x:alignment wrapText="1"/>
    </x:xf>
    <x:xf numFmtId="0" fontId="30" fillId="40" borderId="22" xfId="0" applyNumberFormat="1" applyFont="1" applyFill="1" applyBorder="1" applyAlignment="1">
      <x:alignment horizontal="center" wrapText="1"/>
    </x:xf>
    <x:xf numFmtId="0" fontId="29" fillId="40" borderId="22" xfId="0" applyNumberFormat="1" applyFont="1" applyFill="1" applyBorder="1" applyAlignment="1">
      <x:alignment horizontal="center" vertical="center" wrapText="1"/>
    </x:xf>
    <x:xf numFmtId="0" fontId="30" fillId="40" borderId="22" xfId="0" applyNumberFormat="1" applyFont="1" applyFill="1" applyBorder="1" applyAlignment="1">
      <x:alignment horizontal="center" vertical="center" wrapText="1"/>
    </x:xf>
    <x:xf numFmtId="0" fontId="29" fillId="40" borderId="21" xfId="0" applyNumberFormat="1" applyFont="1" applyFill="1" applyBorder="1" applyAlignment="1">
      <x:alignment horizontal="center" vertical="center" wrapText="1"/>
    </x:xf>
    <x:xf numFmtId="0" fontId="0" fillId="40" borderId="16" xfId="0" applyNumberFormat="1" applyFont="1" applyFill="1" applyBorder="1"/>
    <x:xf numFmtId="0" fontId="0" fillId="40" borderId="16" xfId="0" applyNumberFormat="1" applyFont="1" applyFill="1" applyBorder="1" applyAlignment="1">
      <x:alignment horizontal="center"/>
    </x:xf>
    <x:xf numFmtId="0" fontId="23" fillId="40" borderId="15" xfId="0" applyNumberFormat="1" applyFont="1" applyFill="1" applyBorder="1"/>
    <x:xf numFmtId="0" fontId="25" fillId="40" borderId="15" xfId="0" applyNumberFormat="1" applyFont="1" applyFill="1" applyBorder="1"/>
    <x:xf numFmtId="0" fontId="21" fillId="40" borderId="15" xfId="0" applyNumberFormat="1" applyFont="1" applyFill="1" applyBorder="1" applyAlignment="1">
      <x:alignment horizontal="left" vertical="center" wrapText="1"/>
    </x:xf>
    <x:xf numFmtId="0" fontId="24" fillId="40" borderId="15" xfId="0" applyNumberFormat="1" applyFont="1" applyFill="1" applyBorder="1" applyAlignment="1">
      <x:alignment horizontal="left" vertical="center" wrapText="1"/>
    </x:xf>
    <x:xf numFmtId="0" fontId="29" fillId="40" borderId="16" xfId="0" applyNumberFormat="1" applyFont="1" applyFill="1" applyBorder="1"/>
    <x:xf numFmtId="0" fontId="29" fillId="40" borderId="16" xfId="0" applyNumberFormat="1" applyFont="1" applyFill="1" applyBorder="1" applyAlignment="1">
      <x:alignment horizontal="center"/>
    </x:xf>
    <x:xf numFmtId="0" fontId="30" fillId="40" borderId="15" xfId="0" applyNumberFormat="1" applyFont="1" applyFill="1" applyBorder="1"/>
    <x:xf numFmtId="0" fontId="29" fillId="40" borderId="15" xfId="0" applyNumberFormat="1" applyFont="1" applyFill="1" applyBorder="1" applyAlignment="1">
      <x:alignment horizontal="left" vertical="center" wrapText="1"/>
    </x:xf>
    <x:xf numFmtId="0" fontId="30" fillId="40" borderId="15" xfId="0" applyNumberFormat="1" applyFont="1" applyFill="1" applyBorder="1" applyAlignment="1">
      <x:alignment horizontal="left" vertical="center" wrapText="1"/>
    </x:xf>
    <x:xf numFmtId="0" fontId="29" fillId="40" borderId="23" xfId="0" applyNumberFormat="1" applyFont="1" applyFill="1" applyBorder="1"/>
    <x:xf numFmtId="0" fontId="29" fillId="40" borderId="23" xfId="0" applyNumberFormat="1" applyFont="1" applyFill="1" applyBorder="1" applyAlignment="1">
      <x:alignment horizontal="center"/>
    </x:xf>
    <x:xf numFmtId="0" fontId="30" fillId="40" borderId="24" xfId="0" applyNumberFormat="1" applyFont="1" applyFill="1" applyBorder="1"/>
    <x:xf numFmtId="0" fontId="29" fillId="40" borderId="24" xfId="0" applyNumberFormat="1" applyFont="1" applyFill="1" applyBorder="1" applyAlignment="1">
      <x:alignment horizontal="left" vertical="center" wrapText="1"/>
    </x:xf>
    <x:xf numFmtId="0" fontId="30" fillId="40" borderId="24" xfId="0" applyNumberFormat="1" applyFont="1" applyFill="1" applyBorder="1" applyAlignment="1">
      <x:alignment horizontal="left" vertical="center" wrapText="1"/>
    </x:xf>
    <x:xf numFmtId="0" fontId="29" fillId="40" borderId="23" xfId="0" applyNumberFormat="1" applyFont="1" applyFill="1" applyBorder="1" applyAlignment="1">
      <x:alignment wrapText="1"/>
    </x:xf>
    <x:xf numFmtId="0" fontId="29" fillId="40" borderId="23" xfId="0" applyNumberFormat="1" applyFont="1" applyFill="1" applyBorder="1" applyAlignment="1">
      <x:alignment horizontal="center" wrapText="1"/>
    </x:xf>
    <x:xf numFmtId="0" fontId="30" fillId="40" borderId="24" xfId="0" applyNumberFormat="1" applyFont="1" applyFill="1" applyBorder="1" applyAlignment="1">
      <x:alignment wrapText="1"/>
    </x:xf>
    <x:xf numFmtId="0" fontId="30" fillId="40" borderId="24" xfId="0" applyNumberFormat="1" applyFont="1" applyFill="1" applyBorder="1" applyAlignment="1">
      <x:alignment horizontal="center" wrapText="1"/>
    </x:xf>
    <x:xf numFmtId="0" fontId="29" fillId="40" borderId="24" xfId="0" applyNumberFormat="1" applyFont="1" applyFill="1" applyBorder="1" applyAlignment="1">
      <x:alignment horizontal="center" vertical="center" wrapText="1"/>
    </x:xf>
    <x:xf numFmtId="0" fontId="30" fillId="40" borderId="24" xfId="0" applyNumberFormat="1" applyFont="1" applyFill="1" applyBorder="1" applyAlignment="1">
      <x:alignment horizontal="center" vertical="center" wrapText="1"/>
    </x:xf>
    <x:xf numFmtId="0" fontId="29" fillId="40" borderId="23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horizontal="center" wrapText="1"/>
    </x:xf>
    <x:xf numFmtId="0" fontId="25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horizontal="left" vertical="center" wrapText="1"/>
    </x:xf>
    <x:xf numFmtId="0" fontId="24" fillId="0" borderId="0" xfId="0" applyNumberFormat="1" applyFont="1" applyFill="1" applyBorder="1" applyAlignment="1">
      <x:alignment horizontal="left" vertical="center" wrapText="1"/>
    </x:xf>
    <x:xf numFmtId="0" fontId="0" fillId="35" borderId="1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wrapText="1"/>
    </x:xf>
    <x:xf numFmtId="0" fontId="21" fillId="0" borderId="10" xfId="0" applyNumberFormat="1" applyFont="1" applyFill="1" applyBorder="1" applyAlignment="1">
      <x:alignment wrapText="1"/>
    </x:xf>
    <x:xf numFmtId="0" fontId="20" fillId="0" borderId="10" xfId="0" applyNumberFormat="1" applyFont="1" applyFill="1" applyBorder="1" applyAlignment="1">
      <x:alignment horizontal="left" wrapText="1"/>
    </x:xf>
    <x:xf numFmtId="0" fontId="21" fillId="0" borderId="1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0" fillId="0" borderId="14" xfId="0" applyNumberFormat="1" applyFont="1" applyFill="1" applyBorder="1" applyAlignment="1">
      <x:alignment wrapText="1"/>
    </x:xf>
    <x:xf numFmtId="0" fontId="2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horizontal="center" wrapText="1"/>
    </x:xf>
    <x:xf numFmtId="0" fontId="21" fillId="0" borderId="0" xfId="0" applyNumberFormat="1" applyFont="1" applyFill="1" applyBorder="1" applyAlignment="1">
      <x:alignment horizontal="center" wrapText="1"/>
    </x:xf>
    <x:xf numFmtId="0" fontId="20" fillId="0" borderId="0" xfId="0" applyNumberFormat="1" applyFont="1" applyFill="1" applyBorder="1" applyAlignment="1">
      <x:alignment horizontal="left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horizontal="center" wrapText="1"/>
    </x:xf>
    <x:xf numFmtId="0" fontId="25" fillId="0" borderId="15" xfId="0" applyNumberFormat="1" applyFont="1" applyFill="1" applyBorder="1" applyAlignment="1">
      <x:alignment wrapText="1"/>
    </x:xf>
    <x:xf numFmtId="0" fontId="23" fillId="0" borderId="15" xfId="0" applyNumberFormat="1" applyFont="1" applyFill="1" applyBorder="1" applyAlignment="1">
      <x:alignment wrapText="1"/>
    </x:xf>
    <x:xf numFmtId="0" fontId="0" fillId="35" borderId="16" xfId="0" applyNumberFormat="1" applyFont="1" applyFill="1" applyBorder="1" applyAlignment="1">
      <x:alignment wrapText="1"/>
    </x:xf>
    <x:xf numFmtId="0" fontId="21" fillId="0" borderId="15" xfId="0" applyNumberFormat="1" applyFont="1" applyFill="1" applyBorder="1" applyAlignment="1">
      <x:alignment wrapText="1"/>
    </x:xf>
    <x:xf numFmtId="0" fontId="21" fillId="0" borderId="16" xfId="0" applyNumberFormat="1" applyFont="1" applyFill="1" applyBorder="1" applyAlignment="1">
      <x:alignment wrapText="1"/>
    </x:xf>
    <x:xf numFmtId="0" fontId="20" fillId="0" borderId="16" xfId="0" applyNumberFormat="1" applyFont="1" applyFill="1" applyBorder="1" applyAlignment="1">
      <x:alignment horizontal="left" wrapText="1"/>
    </x:xf>
    <x:xf numFmtId="0" fontId="21" fillId="0" borderId="16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20" fillId="0" borderId="20" xfId="0" applyNumberFormat="1" applyFont="1" applyFill="1" applyBorder="1" applyAlignment="1">
      <x:alignment wrapText="1"/>
    </x:xf>
    <x:xf numFmtId="0" fontId="20" fillId="0" borderId="16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horizontal="center" wrapText="1"/>
    </x:xf>
    <x:xf numFmtId="0" fontId="21" fillId="0" borderId="15" xfId="0" applyNumberFormat="1" applyFont="1" applyFill="1" applyBorder="1" applyAlignment="1">
      <x:alignment horizontal="center" wrapText="1"/>
    </x:xf>
    <x:xf numFmtId="0" fontId="20" fillId="0" borderId="15" xfId="0" applyNumberFormat="1" applyFont="1" applyFill="1" applyBorder="1" applyAlignment="1">
      <x:alignment horizontal="left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25" fillId="0" borderId="0" xfId="0" applyNumberFormat="1" applyFont="1" applyFill="1" applyBorder="1" applyAlignment="1">
      <x:alignment vertical="top" wrapText="1"/>
    </x:xf>
    <x:xf numFmtId="0" fontId="23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horizontal="left" vertical="top" wrapText="1"/>
    </x:xf>
    <x:xf numFmtId="0" fontId="24" fillId="0" borderId="0" xfId="0" applyNumberFormat="1" applyFont="1" applyFill="1" applyBorder="1" applyAlignment="1">
      <x:alignment horizontal="left" vertical="top" wrapText="1"/>
    </x:xf>
    <x:xf numFmtId="0" fontId="0" fillId="35" borderId="1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21" fillId="0" borderId="10" xfId="0" applyNumberFormat="1" applyFont="1" applyFill="1" applyBorder="1" applyAlignment="1">
      <x:alignment vertical="top" wrapText="1"/>
    </x:xf>
    <x:xf numFmtId="0" fontId="20" fillId="0" borderId="10" xfId="0" applyNumberFormat="1" applyFont="1" applyFill="1" applyBorder="1" applyAlignment="1">
      <x:alignment horizontal="left" vertical="top" wrapText="1"/>
    </x:xf>
    <x:xf numFmtId="0" fontId="21" fillId="0" borderId="1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0" fillId="0" borderId="14" xfId="0" applyNumberFormat="1" applyFont="1" applyFill="1" applyBorder="1" applyAlignment="1">
      <x:alignment vertical="top" wrapText="1"/>
    </x:xf>
    <x:xf numFmtId="0" fontId="20" fillId="0" borderId="1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21" fillId="0" borderId="0" xfId="0" applyNumberFormat="1" applyFont="1" applyFill="1" applyBorder="1" applyAlignment="1">
      <x:alignment horizontal="center" vertical="top" wrapText="1"/>
    </x:xf>
    <x:xf numFmtId="0" fontId="20" fillId="0" borderId="0" xfId="0" applyNumberFormat="1" applyFont="1" applyFill="1" applyBorder="1" applyAlignment="1">
      <x:alignment horizontal="left"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25" fillId="0" borderId="15" xfId="0" applyNumberFormat="1" applyFont="1" applyFill="1" applyBorder="1" applyAlignment="1">
      <x:alignment vertical="top" wrapText="1"/>
    </x:xf>
    <x:xf numFmtId="0" fontId="23" fillId="0" borderId="15" xfId="0" applyNumberFormat="1" applyFont="1" applyFill="1" applyBorder="1" applyAlignment="1">
      <x:alignment vertical="top" wrapText="1"/>
    </x:xf>
    <x:xf numFmtId="0" fontId="21" fillId="0" borderId="15" xfId="0" applyNumberFormat="1" applyFont="1" applyFill="1" applyBorder="1" applyAlignment="1">
      <x:alignment horizontal="left" vertical="top" wrapText="1"/>
    </x:xf>
    <x:xf numFmtId="0" fontId="24" fillId="0" borderId="15" xfId="0" applyNumberFormat="1" applyFont="1" applyFill="1" applyBorder="1" applyAlignment="1">
      <x:alignment horizontal="left" vertical="top" wrapText="1"/>
    </x:xf>
    <x:xf numFmtId="0" fontId="0" fillId="35" borderId="16" xfId="0" applyNumberFormat="1" applyFont="1" applyFill="1" applyBorder="1" applyAlignment="1">
      <x:alignment vertical="top" wrapText="1"/>
    </x:xf>
    <x:xf numFmtId="0" fontId="21" fillId="0" borderId="15" xfId="0" applyNumberFormat="1" applyFont="1" applyFill="1" applyBorder="1" applyAlignment="1">
      <x:alignment vertical="top" wrapText="1"/>
    </x:xf>
    <x:xf numFmtId="0" fontId="21" fillId="0" borderId="16" xfId="0" applyNumberFormat="1" applyFont="1" applyFill="1" applyBorder="1" applyAlignment="1">
      <x:alignment vertical="top" wrapText="1"/>
    </x:xf>
    <x:xf numFmtId="0" fontId="20" fillId="0" borderId="16" xfId="0" applyNumberFormat="1" applyFont="1" applyFill="1" applyBorder="1" applyAlignment="1">
      <x:alignment horizontal="left" vertical="top" wrapText="1"/>
    </x:xf>
    <x:xf numFmtId="0" fontId="21" fillId="0" borderId="16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20" fillId="0" borderId="20" xfId="0" applyNumberFormat="1" applyFont="1" applyFill="1" applyBorder="1" applyAlignment="1">
      <x:alignment vertical="top" wrapText="1"/>
    </x:xf>
    <x:xf numFmtId="0" fontId="20" fillId="0" borderId="16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21" fillId="0" borderId="15" xfId="0" applyNumberFormat="1" applyFont="1" applyFill="1" applyBorder="1" applyAlignment="1">
      <x:alignment horizontal="center" vertical="top" wrapText="1"/>
    </x:xf>
    <x:xf numFmtId="0" fontId="20" fillId="0" borderId="15" xfId="0" applyNumberFormat="1" applyFont="1" applyFill="1" applyBorder="1" applyAlignment="1">
      <x:alignment horizontal="left" vertical="top" wrapText="1"/>
    </x:xf>
    <x:xf numFmtId="0" fontId="31" fillId="0" borderId="10" xfId="0" applyNumberFormat="1" applyFont="1" applyFill="1" applyBorder="1" applyAlignment="1">
      <x:alignment vertical="top" wrapText="1"/>
    </x:xf>
    <x:xf numFmtId="0" fontId="31" fillId="0" borderId="10" xfId="0" applyNumberFormat="1" applyFont="1" applyFill="1" applyBorder="1" applyAlignment="1">
      <x:alignment horizontal="center" vertical="top" wrapText="1"/>
    </x:xf>
    <x:xf numFmtId="0" fontId="32" fillId="0" borderId="0" xfId="0" applyNumberFormat="1" applyFont="1" applyFill="1" applyBorder="1" applyAlignment="1">
      <x:alignment horizontal="left" vertical="top" wrapText="1"/>
    </x:xf>
    <x:xf numFmtId="0" fontId="31" fillId="35" borderId="10" xfId="0" applyNumberFormat="1" applyFont="1" applyFill="1" applyBorder="1" applyAlignment="1">
      <x:alignment vertical="top" wrapText="1"/>
    </x:xf>
    <x:xf numFmtId="0" fontId="32" fillId="0" borderId="0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 applyAlignment="1">
      <x:alignment vertical="top" wrapText="1"/>
    </x:xf>
    <x:xf numFmtId="0" fontId="33" fillId="0" borderId="10" xfId="0" applyNumberFormat="1" applyFont="1" applyFill="1" applyBorder="1" applyAlignment="1">
      <x:alignment horizontal="left" vertical="top" wrapText="1"/>
    </x:xf>
    <x:xf numFmtId="0" fontId="32" fillId="0" borderId="10" xfId="0" applyNumberFormat="1" applyFont="1" applyFill="1" applyBorder="1" applyAlignment="1">
      <x:alignment horizontal="center" vertical="top" wrapText="1"/>
    </x:xf>
    <x:xf numFmtId="0" fontId="31" fillId="0" borderId="0" xfId="0" applyNumberFormat="1" applyFont="1" applyFill="1" applyBorder="1" applyAlignment="1">
      <x:alignment vertical="top" wrapText="1"/>
    </x:xf>
    <x:xf numFmtId="0" fontId="33" fillId="0" borderId="14" xfId="0" applyNumberFormat="1" applyFont="1" applyFill="1" applyBorder="1" applyAlignment="1">
      <x:alignment vertical="top" wrapText="1"/>
    </x:xf>
    <x:xf numFmtId="0" fontId="33" fillId="0" borderId="10" xfId="0" applyNumberFormat="1" applyFont="1" applyFill="1" applyBorder="1" applyAlignment="1">
      <x:alignment vertical="top" wrapText="1"/>
    </x:xf>
    <x:xf numFmtId="0" fontId="31" fillId="0" borderId="14" xfId="0" applyNumberFormat="1" applyFont="1" applyFill="1" applyBorder="1" applyAlignment="1">
      <x:alignment horizontal="center" vertical="top" wrapText="1"/>
    </x:xf>
    <x:xf numFmtId="0" fontId="32" fillId="0" borderId="0" xfId="0" applyNumberFormat="1" applyFont="1" applyFill="1" applyBorder="1" applyAlignment="1">
      <x:alignment horizontal="center" vertical="top" wrapText="1"/>
    </x:xf>
    <x:xf numFmtId="0" fontId="33" fillId="0" borderId="0" xfId="0" applyNumberFormat="1" applyFont="1" applyFill="1" applyBorder="1" applyAlignment="1">
      <x:alignment horizontal="left" vertical="top" wrapText="1"/>
    </x:xf>
    <x:xf numFmtId="0" fontId="31" fillId="0" borderId="16" xfId="0" applyNumberFormat="1" applyFont="1" applyFill="1" applyBorder="1" applyAlignment="1">
      <x:alignment vertical="top" wrapText="1"/>
    </x:xf>
    <x:xf numFmtId="0" fontId="31" fillId="0" borderId="16" xfId="0" applyNumberFormat="1" applyFont="1" applyFill="1" applyBorder="1" applyAlignment="1">
      <x:alignment horizontal="center" vertical="top" wrapText="1"/>
    </x:xf>
    <x:xf numFmtId="0" fontId="32" fillId="0" borderId="15" xfId="0" applyNumberFormat="1" applyFont="1" applyFill="1" applyBorder="1" applyAlignment="1">
      <x:alignment horizontal="left" vertical="top" wrapText="1"/>
    </x:xf>
    <x:xf numFmtId="0" fontId="31" fillId="35" borderId="16" xfId="0" applyNumberFormat="1" applyFont="1" applyFill="1" applyBorder="1" applyAlignment="1">
      <x:alignment vertical="top" wrapText="1"/>
    </x:xf>
    <x:xf numFmtId="0" fontId="32" fillId="0" borderId="15" xfId="0" applyNumberFormat="1" applyFont="1" applyFill="1" applyBorder="1" applyAlignment="1">
      <x:alignment vertical="top" wrapText="1"/>
    </x:xf>
    <x:xf numFmtId="0" fontId="32" fillId="0" borderId="16" xfId="0" applyNumberFormat="1" applyFont="1" applyFill="1" applyBorder="1" applyAlignment="1">
      <x:alignment vertical="top" wrapText="1"/>
    </x:xf>
    <x:xf numFmtId="0" fontId="33" fillId="0" borderId="16" xfId="0" applyNumberFormat="1" applyFont="1" applyFill="1" applyBorder="1" applyAlignment="1">
      <x:alignment horizontal="left" vertical="top" wrapText="1"/>
    </x:xf>
    <x:xf numFmtId="0" fontId="32" fillId="0" borderId="16" xfId="0" applyNumberFormat="1" applyFont="1" applyFill="1" applyBorder="1" applyAlignment="1">
      <x:alignment horizontal="center" vertical="top" wrapText="1"/>
    </x:xf>
    <x:xf numFmtId="0" fontId="31" fillId="0" borderId="15" xfId="0" applyNumberFormat="1" applyFont="1" applyFill="1" applyBorder="1" applyAlignment="1">
      <x:alignment vertical="top" wrapText="1"/>
    </x:xf>
    <x:xf numFmtId="0" fontId="33" fillId="0" borderId="20" xfId="0" applyNumberFormat="1" applyFont="1" applyFill="1" applyBorder="1" applyAlignment="1">
      <x:alignment vertical="top" wrapText="1"/>
    </x:xf>
    <x:xf numFmtId="0" fontId="33" fillId="0" borderId="16" xfId="0" applyNumberFormat="1" applyFont="1" applyFill="1" applyBorder="1" applyAlignment="1">
      <x:alignment vertical="top" wrapText="1"/>
    </x:xf>
    <x:xf numFmtId="0" fontId="31" fillId="0" borderId="20" xfId="0" applyNumberFormat="1" applyFont="1" applyFill="1" applyBorder="1" applyAlignment="1">
      <x:alignment horizontal="center" vertical="top" wrapText="1"/>
    </x:xf>
    <x:xf numFmtId="0" fontId="32" fillId="0" borderId="15" xfId="0" applyNumberFormat="1" applyFont="1" applyFill="1" applyBorder="1" applyAlignment="1">
      <x:alignment horizontal="center" vertical="top" wrapText="1"/>
    </x:xf>
    <x:xf numFmtId="0" fontId="33" fillId="0" borderId="15" xfId="0" applyNumberFormat="1" applyFont="1" applyFill="1" applyBorder="1" applyAlignment="1">
      <x:alignment horizontal="left" vertical="top" wrapText="1"/>
    </x:xf>
    <x:xf numFmtId="0" fontId="31" fillId="0" borderId="0" xfId="0" applyNumberFormat="1" applyFont="1" applyFill="1" applyBorder="1" applyAlignment="1">
      <x:alignment horizontal="center" vertical="top" wrapText="1"/>
    </x:xf>
    <x:xf numFmtId="0" fontId="31" fillId="0" borderId="15" xfId="0" applyNumberFormat="1" applyFont="1" applyFill="1" applyBorder="1" applyAlignment="1">
      <x:alignment horizontal="center" vertical="top" wrapText="1"/>
    </x:xf>
    <x:xf numFmtId="200" fontId="24" fillId="0" borderId="0" xfId="0" applyNumberFormat="1" applyFont="1" applyFill="1" applyBorder="1" applyAlignment="1">
      <x:alignment horizontal="left" vertical="top" wrapText="1"/>
    </x:xf>
    <x:xf numFmtId="200" fontId="31" fillId="0" borderId="10" xfId="0" applyNumberFormat="1" applyFont="1" applyFill="1" applyBorder="1" applyAlignment="1">
      <x:alignment vertical="top" wrapText="1"/>
    </x:xf>
    <x:xf numFmtId="200" fontId="33" fillId="0" borderId="10" xfId="0" applyNumberFormat="1" applyFont="1" applyFill="1" applyBorder="1" applyAlignment="1">
      <x:alignment horizontal="left" vertical="top" wrapText="1"/>
    </x:xf>
    <x:xf numFmtId="200" fontId="33" fillId="0" borderId="10" xfId="0" applyNumberFormat="1" applyFont="1" applyFill="1" applyBorder="1" applyAlignment="1">
      <x:alignment vertical="top" wrapText="1"/>
    </x:xf>
    <x:xf numFmtId="200" fontId="33" fillId="0" borderId="0" xfId="0" applyNumberFormat="1" applyFont="1" applyFill="1" applyBorder="1" applyAlignment="1">
      <x:alignment horizontal="left" vertical="top" wrapText="1"/>
    </x:xf>
    <x:xf numFmtId="200" fontId="31" fillId="0" borderId="10" xfId="0" applyNumberFormat="1" applyFont="1" applyFill="1" applyBorder="1" applyAlignment="1">
      <x:alignment horizontal="center" vertical="top" wrapText="1"/>
    </x:xf>
    <x:xf numFmtId="200" fontId="24" fillId="0" borderId="15" xfId="0" applyNumberFormat="1" applyFont="1" applyFill="1" applyBorder="1" applyAlignment="1">
      <x:alignment horizontal="left" vertical="top" wrapText="1"/>
    </x:xf>
    <x:xf numFmtId="200" fontId="31" fillId="0" borderId="16" xfId="0" applyNumberFormat="1" applyFont="1" applyFill="1" applyBorder="1" applyAlignment="1">
      <x:alignment vertical="top" wrapText="1"/>
    </x:xf>
    <x:xf numFmtId="200" fontId="33" fillId="0" borderId="16" xfId="0" applyNumberFormat="1" applyFont="1" applyFill="1" applyBorder="1" applyAlignment="1">
      <x:alignment horizontal="left" vertical="top" wrapText="1"/>
    </x:xf>
    <x:xf numFmtId="200" fontId="33" fillId="0" borderId="16" xfId="0" applyNumberFormat="1" applyFont="1" applyFill="1" applyBorder="1" applyAlignment="1">
      <x:alignment vertical="top" wrapText="1"/>
    </x:xf>
    <x:xf numFmtId="200" fontId="33" fillId="0" borderId="15" xfId="0" applyNumberFormat="1" applyFont="1" applyFill="1" applyBorder="1" applyAlignment="1">
      <x:alignment horizontal="left" vertical="top" wrapText="1"/>
    </x:xf>
    <x:xf numFmtId="200" fontId="31" fillId="0" borderId="16" xfId="0" applyNumberFormat="1" applyFont="1" applyFill="1" applyBorder="1" applyAlignment="1">
      <x:alignment horizontal="center" vertical="top" wrapText="1"/>
    </x:xf>
    <x:xf numFmtId="200" fontId="24" fillId="0" borderId="0" xfId="0" applyNumberFormat="1" applyFont="1" applyFill="1" applyBorder="1" applyAlignment="1">
      <x:alignment horizontal="right" vertical="top" wrapText="1"/>
    </x:xf>
    <x:xf numFmtId="200" fontId="31" fillId="0" borderId="10" xfId="0" applyNumberFormat="1" applyFont="1" applyFill="1" applyBorder="1" applyAlignment="1">
      <x:alignment horizontal="right" vertical="top" wrapText="1"/>
    </x:xf>
    <x:xf numFmtId="200" fontId="33" fillId="0" borderId="10" xfId="0" applyNumberFormat="1" applyFont="1" applyFill="1" applyBorder="1" applyAlignment="1">
      <x:alignment horizontal="right" vertical="top" wrapText="1"/>
    </x:xf>
    <x:xf numFmtId="200" fontId="33" fillId="0" borderId="0" xfId="0" applyNumberFormat="1" applyFont="1" applyFill="1" applyBorder="1" applyAlignment="1">
      <x:alignment horizontal="right" vertical="top" wrapText="1"/>
    </x:xf>
    <x:xf numFmtId="200" fontId="24" fillId="0" borderId="15" xfId="0" applyNumberFormat="1" applyFont="1" applyFill="1" applyBorder="1" applyAlignment="1">
      <x:alignment horizontal="right" vertical="top" wrapText="1"/>
    </x:xf>
    <x:xf numFmtId="200" fontId="31" fillId="0" borderId="16" xfId="0" applyNumberFormat="1" applyFont="1" applyFill="1" applyBorder="1" applyAlignment="1">
      <x:alignment horizontal="right" vertical="top" wrapText="1"/>
    </x:xf>
    <x:xf numFmtId="200" fontId="33" fillId="0" borderId="16" xfId="0" applyNumberFormat="1" applyFont="1" applyFill="1" applyBorder="1" applyAlignment="1">
      <x:alignment horizontal="right" vertical="top" wrapText="1"/>
    </x:xf>
    <x:xf numFmtId="200" fontId="33" fillId="0" borderId="15" xfId="0" applyNumberFormat="1" applyFont="1" applyFill="1" applyBorder="1" applyAlignment="1">
      <x:alignment horizontal="right" vertical="top" wrapText="1"/>
    </x:xf>
    <x:xf numFmtId="0" fontId="0" fillId="41" borderId="10" xfId="0" applyNumberFormat="1" applyFont="1" applyFill="1" applyBorder="1"/>
    <x:xf numFmtId="0" fontId="0" fillId="41" borderId="10" xfId="0" applyNumberFormat="1" applyFont="1" applyFill="1" applyBorder="1" applyAlignment="1">
      <x:alignment horizontal="center"/>
    </x:xf>
    <x:xf numFmtId="0" fontId="34" fillId="41" borderId="10" xfId="0" applyNumberFormat="1" applyFont="1" applyFill="1" applyBorder="1"/>
    <x:xf numFmtId="0" fontId="34" fillId="41" borderId="10" xfId="0" applyNumberFormat="1" applyFont="1" applyFill="1" applyBorder="1" applyAlignment="1">
      <x:alignment horizontal="center"/>
    </x:xf>
    <x:xf numFmtId="0" fontId="34" fillId="41" borderId="10" xfId="0" applyNumberFormat="1" applyFont="1" applyFill="1" applyBorder="1" applyAlignment="1">
      <x:alignment horizontal="center" vertical="center"/>
    </x:xf>
    <x:xf numFmtId="0" fontId="0" fillId="41" borderId="16" xfId="0" applyNumberFormat="1" applyFont="1" applyFill="1" applyBorder="1"/>
    <x:xf numFmtId="0" fontId="0" fillId="41" borderId="16" xfId="0" applyNumberFormat="1" applyFont="1" applyFill="1" applyBorder="1" applyAlignment="1">
      <x:alignment horizontal="center"/>
    </x:xf>
    <x:xf numFmtId="0" fontId="34" fillId="41" borderId="16" xfId="0" applyNumberFormat="1" applyFont="1" applyFill="1" applyBorder="1"/>
    <x:xf numFmtId="0" fontId="34" fillId="41" borderId="16" xfId="0" applyNumberFormat="1" applyFont="1" applyFill="1" applyBorder="1" applyAlignment="1">
      <x:alignment horizontal="center"/>
    </x:xf>
    <x:xf numFmtId="0" fontId="34" fillId="41" borderId="16" xfId="0" applyNumberFormat="1" applyFont="1" applyFill="1" applyBorder="1" applyAlignment="1">
      <x:alignment horizontal="center" vertical="center"/>
    </x:xf>
    <x:xf numFmtId="0" fontId="35" fillId="0" borderId="10" xfId="0" applyNumberFormat="1" applyFont="1" applyFill="1" applyBorder="1" applyAlignment="1">
      <x:alignment wrapText="1"/>
    </x:xf>
    <x:xf numFmtId="0" fontId="35" fillId="0" borderId="10" xfId="0" applyNumberFormat="1" applyFont="1" applyFill="1" applyBorder="1" applyAlignment="1">
      <x:alignment horizontal="center" wrapText="1"/>
    </x:xf>
    <x:xf numFmtId="0" fontId="35" fillId="0" borderId="16" xfId="0" applyNumberFormat="1" applyFont="1" applyFill="1" applyBorder="1" applyAlignment="1">
      <x:alignment wrapText="1"/>
    </x:xf>
    <x:xf numFmtId="0" fontId="35" fillId="0" borderId="16" xfId="0" applyNumberFormat="1" applyFont="1" applyFill="1" applyBorder="1" applyAlignment="1">
      <x:alignment horizontal="center"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29" fillId="40" borderId="25" xfId="0" applyNumberFormat="1" applyFont="1" applyFill="1" applyBorder="1" applyAlignment="1">
      <x:alignment horizontal="center" vertical="center" wrapText="1"/>
    </x:xf>
    <x:xf numFmtId="0" fontId="31" fillId="0" borderId="26" xfId="0" applyNumberFormat="1" applyFont="1" applyFill="1" applyBorder="1" applyAlignment="1">
      <x:alignment horizontal="center" vertical="top" wrapText="1"/>
    </x:xf>
    <x:xf numFmtId="0" fontId="31" fillId="0" borderId="27" xfId="0" applyNumberFormat="1" applyFont="1" applyFill="1" applyBorder="1" applyAlignment="1">
      <x:alignment horizontal="center" vertical="top" wrapText="1"/>
    </x:xf>
    <x:xf numFmtId="0" fontId="31" fillId="0" borderId="28" xfId="0" applyNumberFormat="1" applyFont="1" applyFill="1" applyBorder="1" applyAlignment="1">
      <x:alignment horizontal="center" vertical="top" wrapText="1"/>
    </x:xf>
    <x:xf numFmtId="0" fontId="31" fillId="0" borderId="28" xfId="0" applyNumberFormat="1" applyFont="1" applyFill="1" applyBorder="1" applyAlignment="1">
      <x:alignment vertical="top" wrapText="1"/>
    </x:xf>
    <x:xf numFmtId="0" fontId="32" fillId="0" borderId="28" xfId="0" applyNumberFormat="1" applyFont="1" applyFill="1" applyBorder="1" applyAlignment="1">
      <x:alignment horizontal="center" vertical="top" wrapText="1"/>
    </x:xf>
    <x:xf numFmtId="200" fontId="33" fillId="0" borderId="28" xfId="0" applyNumberFormat="1" applyFont="1" applyFill="1" applyBorder="1" applyAlignment="1">
      <x:alignment horizontal="right" vertical="top" wrapText="1"/>
    </x:xf>
    <x:xf numFmtId="200" fontId="31" fillId="0" borderId="28" xfId="0" applyNumberFormat="1" applyFont="1" applyFill="1" applyBorder="1" applyAlignment="1">
      <x:alignment horizontal="right" vertical="top" wrapText="1"/>
    </x:xf>
    <x:xf numFmtId="0" fontId="31" fillId="35" borderId="28" xfId="0" applyNumberFormat="1" applyFont="1" applyFill="1" applyBorder="1" applyAlignment="1">
      <x:alignment vertical="top" wrapText="1"/>
    </x:xf>
    <x:xf numFmtId="0" fontId="31" fillId="0" borderId="29" xfId="0" applyNumberFormat="1" applyFont="1" applyFill="1" applyBorder="1" applyAlignment="1">
      <x:alignment horizontal="center" vertical="top" wrapText="1"/>
    </x:xf>
    <x:xf numFmtId="0" fontId="29" fillId="40" borderId="30" xfId="0" applyNumberFormat="1" applyFont="1" applyFill="1" applyBorder="1" applyAlignment="1">
      <x:alignment horizontal="center" vertical="center" wrapText="1"/>
    </x:xf>
    <x:xf numFmtId="0" fontId="31" fillId="0" borderId="31" xfId="0" applyNumberFormat="1" applyFont="1" applyFill="1" applyBorder="1" applyAlignment="1">
      <x:alignment horizontal="center" vertical="top" wrapText="1"/>
    </x:xf>
    <x:xf numFmtId="0" fontId="31" fillId="0" borderId="32" xfId="0" applyNumberFormat="1" applyFont="1" applyFill="1" applyBorder="1" applyAlignment="1">
      <x:alignment horizontal="center" vertical="top" wrapText="1"/>
    </x:xf>
    <x:xf numFmtId="0" fontId="31" fillId="0" borderId="33" xfId="0" applyNumberFormat="1" applyFont="1" applyFill="1" applyBorder="1" applyAlignment="1">
      <x:alignment horizontal="center" vertical="top" wrapText="1"/>
    </x:xf>
    <x:xf numFmtId="0" fontId="31" fillId="0" borderId="33" xfId="0" applyNumberFormat="1" applyFont="1" applyFill="1" applyBorder="1" applyAlignment="1">
      <x:alignment vertical="top" wrapText="1"/>
    </x:xf>
    <x:xf numFmtId="0" fontId="32" fillId="0" borderId="33" xfId="0" applyNumberFormat="1" applyFont="1" applyFill="1" applyBorder="1" applyAlignment="1">
      <x:alignment horizontal="center" vertical="top" wrapText="1"/>
    </x:xf>
    <x:xf numFmtId="200" fontId="33" fillId="0" borderId="33" xfId="0" applyNumberFormat="1" applyFont="1" applyFill="1" applyBorder="1" applyAlignment="1">
      <x:alignment horizontal="right" vertical="top" wrapText="1"/>
    </x:xf>
    <x:xf numFmtId="200" fontId="31" fillId="0" borderId="33" xfId="0" applyNumberFormat="1" applyFont="1" applyFill="1" applyBorder="1" applyAlignment="1">
      <x:alignment horizontal="right" vertical="top" wrapText="1"/>
    </x:xf>
    <x:xf numFmtId="0" fontId="31" fillId="35" borderId="33" xfId="0" applyNumberFormat="1" applyFont="1" applyFill="1" applyBorder="1" applyAlignment="1">
      <x:alignment vertical="top" wrapText="1"/>
    </x:xf>
    <x:xf numFmtId="0" fontId="31" fillId="0" borderId="34" xfId="0" applyNumberFormat="1" applyFont="1" applyFill="1" applyBorder="1" applyAlignment="1">
      <x:alignment horizontal="center" vertical="top" wrapText="1"/>
    </x:xf>
    <x:xf numFmtId="0" fontId="0" fillId="39" borderId="0" xfId="0" applyNumberFormat="1" applyFont="1" applyFill="1" applyBorder="1"/>
    <x:xf numFmtId="0" fontId="36" fillId="39" borderId="0" xfId="0" applyNumberFormat="1" applyFont="1" applyFill="1" applyBorder="1"/>
    <x:xf numFmtId="0" fontId="36" fillId="39" borderId="0" xfId="0" applyNumberFormat="1" applyFont="1" applyFill="1" applyBorder="1" applyAlignment="1">
      <x:alignment wrapText="1"/>
    </x:xf>
    <x:xf numFmtId="0" fontId="36" fillId="39" borderId="0" xfId="0" applyNumberFormat="1" applyFont="1" applyFill="1" applyBorder="1" applyAlignment="1">
      <x:alignment horizontal="center" wrapText="1"/>
    </x:xf>
    <x:xf numFmtId="0" fontId="36" fillId="39" borderId="0" xfId="0" applyNumberFormat="1" applyFont="1" applyFill="1" applyBorder="1" applyAlignment="1">
      <x:alignment horizontal="center" vertical="center" wrapText="1"/>
    </x:xf>
    <x:xf numFmtId="0" fontId="0" fillId="39" borderId="15" xfId="0" applyNumberFormat="1" applyFont="1" applyFill="1" applyBorder="1"/>
    <x:xf numFmtId="0" fontId="36" fillId="39" borderId="15" xfId="0" applyNumberFormat="1" applyFont="1" applyFill="1" applyBorder="1"/>
    <x:xf numFmtId="0" fontId="36" fillId="39" borderId="15" xfId="0" applyNumberFormat="1" applyFont="1" applyFill="1" applyBorder="1" applyAlignment="1">
      <x:alignment wrapText="1"/>
    </x:xf>
    <x:xf numFmtId="0" fontId="36" fillId="39" borderId="15" xfId="0" applyNumberFormat="1" applyFont="1" applyFill="1" applyBorder="1" applyAlignment="1">
      <x:alignment horizontal="center" wrapText="1"/>
    </x:xf>
    <x:xf numFmtId="0" fontId="36" fillId="39" borderId="15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37" fillId="40" borderId="0" xfId="0" applyNumberFormat="1" applyFont="1" applyFill="1" applyBorder="1"/>
    <x:xf numFmtId="0" fontId="37" fillId="40" borderId="0" xfId="0" applyNumberFormat="1" applyFont="1" applyFill="1" applyBorder="1" applyAlignment="1">
      <x:alignment wrapText="1"/>
    </x:xf>
    <x:xf numFmtId="0" fontId="37" fillId="40" borderId="0" xfId="0" applyNumberFormat="1" applyFont="1" applyFill="1" applyBorder="1" applyAlignment="1">
      <x:alignment horizontal="center" wrapText="1"/>
    </x:xf>
    <x:xf numFmtId="0" fontId="37" fillId="40" borderId="0" xfId="0" applyNumberFormat="1" applyFont="1" applyFill="1" applyBorder="1" applyAlignment="1">
      <x:alignment horizontal="center" vertical="center" wrapText="1"/>
    </x:xf>
    <x:xf numFmtId="0" fontId="0" fillId="40" borderId="15" xfId="0" applyNumberFormat="1" applyFont="1" applyFill="1" applyBorder="1"/>
    <x:xf numFmtId="0" fontId="37" fillId="40" borderId="15" xfId="0" applyNumberFormat="1" applyFont="1" applyFill="1" applyBorder="1"/>
    <x:xf numFmtId="0" fontId="37" fillId="40" borderId="15" xfId="0" applyNumberFormat="1" applyFont="1" applyFill="1" applyBorder="1" applyAlignment="1">
      <x:alignment wrapText="1"/>
    </x:xf>
    <x:xf numFmtId="0" fontId="37" fillId="40" borderId="15" xfId="0" applyNumberFormat="1" applyFont="1" applyFill="1" applyBorder="1" applyAlignment="1">
      <x:alignment horizontal="center" wrapText="1"/>
    </x:xf>
    <x:xf numFmtId="0" fontId="37" fillId="40" borderId="15" xfId="0" applyNumberFormat="1" applyFont="1" applyFill="1" applyBorder="1" applyAlignment="1">
      <x:alignment horizontal="center" vertical="center" wrapText="1"/>
    </x:xf>
    <x:xf numFmtId="0" fontId="36" fillId="39" borderId="0" xfId="0" applyNumberFormat="1" applyFont="1" applyFill="1" applyBorder="1" applyAlignment="1">
      <x:alignment horizontal="center"/>
    </x:xf>
    <x:xf numFmtId="0" fontId="36" fillId="39" borderId="0" xfId="0" applyNumberFormat="1" applyFont="1" applyFill="1" applyBorder="1" applyAlignment="1">
      <x:alignment horizontal="center" vertical="center"/>
    </x:xf>
    <x:xf numFmtId="0" fontId="36" fillId="39" borderId="15" xfId="0" applyNumberFormat="1" applyFont="1" applyFill="1" applyBorder="1" applyAlignment="1">
      <x:alignment horizontal="center"/>
    </x:xf>
    <x:xf numFmtId="0" fontId="36" fillId="39" borderId="15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37" fillId="41" borderId="0" xfId="0" applyNumberFormat="1" applyFont="1" applyFill="1" applyBorder="1"/>
    <x:xf numFmtId="0" fontId="37" fillId="41" borderId="0" xfId="0" applyNumberFormat="1" applyFont="1" applyFill="1" applyBorder="1" applyAlignment="1">
      <x:alignment horizontal="center"/>
    </x:xf>
    <x:xf numFmtId="0" fontId="0" fillId="41" borderId="15" xfId="0" applyNumberFormat="1" applyFont="1" applyFill="1" applyBorder="1"/>
    <x:xf numFmtId="0" fontId="37" fillId="41" borderId="15" xfId="0" applyNumberFormat="1" applyFont="1" applyFill="1" applyBorder="1"/>
    <x:xf numFmtId="0" fontId="37" fillId="41" borderId="15" xfId="0" applyNumberFormat="1" applyFont="1" applyFill="1" applyBorder="1" applyAlignment="1">
      <x:alignment horizontal="center"/>
    </x:xf>
    <x:xf numFmtId="0" fontId="37" fillId="40" borderId="0" xfId="0" applyNumberFormat="1" applyFont="1" applyFill="1" applyBorder="1" applyAlignment="1">
      <x:alignment horizontal="center"/>
    </x:xf>
    <x:xf numFmtId="0" fontId="37" fillId="40" borderId="15" xfId="0" applyNumberFormat="1" applyFont="1" applyFill="1" applyBorder="1" applyAlignment="1">
      <x:alignment horizontal="center"/>
    </x:xf>
    <x:xf numFmtId="0" fontId="35" fillId="38" borderId="0" xfId="0" applyNumberFormat="1" applyFont="1" applyFill="1" applyBorder="1"/>
    <x:xf numFmtId="0" fontId="35" fillId="38" borderId="15" xfId="0" applyNumberFormat="1" applyFont="1" applyFill="1" applyBorder="1"/>
    <x:xf numFmtId="0" fontId="35" fillId="38" borderId="0" xfId="0" applyNumberFormat="1" applyFont="1" applyFill="1" applyBorder="1" applyAlignment="1">
      <x:alignment wrapText="1"/>
    </x:xf>
    <x:xf numFmtId="0" fontId="35" fillId="38" borderId="1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26" fillId="37" borderId="0" xfId="0" applyNumberFormat="1" applyFont="1" applyFill="1" applyBorder="1" applyAlignment="1">
      <x:alignment horizontal="center" vertical="top"/>
    </x:xf>
    <x:xf numFmtId="0" fontId="36" fillId="3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7" fillId="41" borderId="0" xfId="0" applyNumberFormat="1" applyFont="1" applyFill="1" applyBorder="1" applyAlignment="1">
      <x:alignment horizontal="center" vertical="top"/>
    </x:xf>
    <x:xf numFmtId="0" fontId="37" fillId="40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0" fontId="35" fillId="38" borderId="0" xfId="0" applyNumberFormat="1" applyFont="1" applyFill="1" applyBorder="1" applyAlignment="1">
      <x:alignment vertical="top" wrapText="1"/>
    </x:xf>
    <x:xf numFmtId="0" fontId="26" fillId="37" borderId="15" xfId="0" applyNumberFormat="1" applyFont="1" applyFill="1" applyBorder="1" applyAlignment="1">
      <x:alignment horizontal="center" vertical="top"/>
    </x:xf>
    <x:xf numFmtId="0" fontId="36" fillId="39" borderId="15" xfId="0" applyNumberFormat="1" applyFont="1" applyFill="1" applyBorder="1" applyAlignment="1">
      <x:alignment horizontal="center" vertical="top"/>
    </x:xf>
    <x:xf numFmtId="0" fontId="0" fillId="0" borderId="15" xfId="0" applyNumberFormat="1" applyFont="1" applyFill="1" applyBorder="1" applyAlignment="1">
      <x:alignment vertical="top"/>
    </x:xf>
    <x:xf numFmtId="0" fontId="37" fillId="41" borderId="15" xfId="0" applyNumberFormat="1" applyFont="1" applyFill="1" applyBorder="1" applyAlignment="1">
      <x:alignment horizontal="center" vertical="top"/>
    </x:xf>
    <x:xf numFmtId="0" fontId="37" fillId="40" borderId="15" xfId="0" applyNumberFormat="1" applyFont="1" applyFill="1" applyBorder="1" applyAlignment="1">
      <x:alignment horizontal="center" vertical="top"/>
    </x:xf>
    <x:xf numFmtId="200" fontId="0" fillId="0" borderId="15" xfId="0" applyNumberFormat="1" applyFont="1" applyFill="1" applyBorder="1" applyAlignment="1">
      <x:alignment vertical="top" wrapText="1"/>
    </x:xf>
    <x:xf numFmtId="0" fontId="35" fillId="38" borderId="15" xfId="0" applyNumberFormat="1" applyFont="1" applyFill="1" applyBorder="1" applyAlignment="1">
      <x:alignment vertical="top" wrapText="1"/>
    </x:xf>
    <x:xf numFmtId="0" fontId="35" fillId="0" borderId="10" xfId="0" applyNumberFormat="1" applyFont="1" applyFill="1" applyBorder="1" applyAlignment="1">
      <x:alignment vertical="center" wrapText="1"/>
    </x:xf>
    <x:xf numFmtId="0" fontId="35" fillId="0" borderId="10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5" fillId="0" borderId="16" xfId="0" applyNumberFormat="1" applyFont="1" applyFill="1" applyBorder="1" applyAlignment="1">
      <x:alignment vertical="center" wrapText="1"/>
    </x:xf>
    <x:xf numFmtId="0" fontId="35" fillId="0" borderId="16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35" fillId="38" borderId="0" xfId="0" applyNumberFormat="1" applyFont="1" applyFill="1" applyBorder="1" applyAlignment="1">
      <x:alignment horizontal="center" vertical="top" wrapText="1"/>
    </x:xf>
    <x:xf numFmtId="0" fontId="35" fillId="38" borderId="0" xfId="0" applyNumberFormat="1" applyFont="1" applyFill="1" applyBorder="1" applyAlignment="1">
      <x:alignment horizontal="center" vertical="center" wrapText="1"/>
    </x:xf>
    <x:xf numFmtId="0" fontId="35" fillId="38" borderId="15" xfId="0" applyNumberFormat="1" applyFont="1" applyFill="1" applyBorder="1" applyAlignment="1">
      <x:alignment horizontal="center" vertical="top" wrapText="1"/>
    </x:xf>
    <x:xf numFmtId="0" fontId="35" fillId="38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43">
    <x:cellStyle name="20% - Énfasis1" xfId="19"/>
    <x:cellStyle name="20% - Énfasis2" xfId="23"/>
    <x:cellStyle name="20% - Énfasis3" xfId="27"/>
    <x:cellStyle name="20% - Énfasis4" xfId="31"/>
    <x:cellStyle name="20% - Énfasis5" xfId="35"/>
    <x:cellStyle name="20% - Énfasis6" xfId="39"/>
    <x:cellStyle name="40% - Énfasis1" xfId="20"/>
    <x:cellStyle name="40% - Énfasis2" xfId="24"/>
    <x:cellStyle name="40% - Énfasis3" xfId="28"/>
    <x:cellStyle name="40% - Énfasis4" xfId="32"/>
    <x:cellStyle name="40% - Énfasis5" xfId="36"/>
    <x:cellStyle name="40% - Énfasis6" xfId="40"/>
    <x:cellStyle name="60% - Énfasis1" xfId="21"/>
    <x:cellStyle name="60% - Énfasis2" xfId="25"/>
    <x:cellStyle name="60% - Énfasis3" xfId="29"/>
    <x:cellStyle name="60% - Énfasis4" xfId="33"/>
    <x:cellStyle name="60% - Énfasis5" xfId="37"/>
    <x:cellStyle name="60% - Énfasis6" xfId="41"/>
    <x:cellStyle name="Buena" xfId="6"/>
    <x:cellStyle name="Cálculo" xfId="11"/>
    <x:cellStyle name="Celda de comprobación" xfId="13"/>
    <x:cellStyle name="Celda vinculada" xfId="12"/>
    <x:cellStyle name="Encabezado 4" xfId="5"/>
    <x:cellStyle name="Énfasis1" xfId="18"/>
    <x:cellStyle name="Énfasis2" xfId="22"/>
    <x:cellStyle name="Énfasis3" xfId="26"/>
    <x:cellStyle name="Énfasis4" xfId="30"/>
    <x:cellStyle name="Énfasis5" xfId="34"/>
    <x:cellStyle name="Énfasis6" xfId="38"/>
    <x:cellStyle name="Entrada" xfId="9"/>
    <x:cellStyle name="Hipervínculo" xfId="42"/>
    <x:cellStyle name="Incorrecto" xfId="7"/>
    <x:cellStyle name="Neutral" xfId="8"/>
    <x:cellStyle name="Normal" xfId="0"/>
    <x:cellStyle name="Notas" xfId="15"/>
    <x:cellStyle name="Salida" xfId="10"/>
    <x:cellStyle name="Texto de advertencia" xfId="14"/>
    <x:cellStyle name="Texto explicativo" xfId="16"/>
    <x:cellStyle name="Título" xfId="1"/>
    <x:cellStyle name="Título 1" xfId="2"/>
    <x:cellStyle name="Título 2" xfId="3"/>
    <x:cellStyle name="Título 3" xfId="4"/>
    <x:cellStyle name="Total" xfId="17"/>
  </x:cellStyles>
  <x:dxfs count="4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E65100"/>
      </x:font>
      <x:fill>
        <x:patternFill patternType="solid">
          <x:bgColor rgb="FFFFF3E0"/>
        </x:patternFill>
      </x:fill>
    </x:dxf>
    <x:dxf>
      <x:font>
        <x:b/>
        <x:color rgb="FFB71C1C"/>
      </x:font>
      <x:fill>
        <x:patternFill patternType="solid">
          <x:bgColor rgb="FFFCE8E6"/>
        </x:patternFill>
      </x:fill>
    </x:dxf>
    <x:dxf>
      <x:font>
        <x:b/>
        <x:color rgb="FF0D47A1"/>
      </x:font>
      <x:fill>
        <x:patternFill patternType="solid">
          <x:bgColor rgb="FFE3F2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2ff73c55d46c8" /><Relationship Type="http://schemas.openxmlformats.org/officeDocument/2006/relationships/theme" Target="/xl/theme/theme1.xml" Id="Rd18082fee91f4426" /><Relationship Type="http://schemas.openxmlformats.org/officeDocument/2006/relationships/sharedStrings" Target="/xl/sharedStrings.xml" Id="R792ab2ec28b64e3f" /><Relationship Type="http://schemas.openxmlformats.org/officeDocument/2006/relationships/worksheet" Target="/xl/worksheets/sheet1.xml" Id="R592b1a4e5aad4f47" /><Relationship Type="http://schemas.openxmlformats.org/officeDocument/2006/relationships/worksheet" Target="/xl/worksheets/sheet2.xml" Id="R810cbf0648b34743" /><Relationship Type="http://schemas.openxmlformats.org/officeDocument/2006/relationships/worksheet" Target="/xl/worksheets/sheet3.xml" Id="R6040769aeba045c9" /></Relationships>
</file>

<file path=xl/tables/table1.xml><?xml version="1.0" encoding="utf-8"?>
<x:table xmlns:x="http://schemas.openxmlformats.org/spreadsheetml/2006/main" id="1" name="BOMTostadorTable" displayName="BOMTostadorTable" ref="A6:N27" headerRowCount="1" totalsRowCount="0" totalsRowShown="0">
  <x:tableColumns count="14">
    <x:tableColumn id="1" name="Ítem"/>
    <x:tableColumn id="2" name="Categoría"/>
    <x:tableColumn id="3" name="Componente"/>
    <x:tableColumn id="4" name="Referencia / modelo"/>
    <x:tableColumn id="5" name="Cantidad"/>
    <x:tableColumn id="6" name="Especificación seleccionada"/>
    <x:tableColumn id="7" name="Proveedor"/>
    <x:tableColumn id="8" name="Precio unitario (COP)"/>
    <x:tableColumn id="9" name="Subtotal (COP)"/>
    <x:tableColumn id="10" name="Estado precio"/>
    <x:tableColumn id="11" name="Enlace de compra"/>
    <x:tableColumn id="12" name="Datasheet / ficha"/>
    <x:tableColumn id="13" name="Prioridad"/>
    <x:tableColumn id="14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heetsTable" displayName="DatasheetsTable" ref="A4:F18" headerRowCount="1" totalsRowCount="0" totalsRowShown="0">
  <x:tableColumns count="6">
    <x:tableColumn id="1" name="Ítem"/>
    <x:tableColumn id="2" name="Componente / referencia"/>
    <x:tableColumn id="3" name="Tipo de documento"/>
    <x:tableColumn id="4" name="Fuente"/>
    <x:tableColumn id="5" name="URL"/>
    <x:tableColumn id="6" name="Qué respal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o.mouser.com/nordicsemiconductor/" TargetMode="External" Id="Re09aebc471e248c2" /><Relationship Type="http://schemas.openxmlformats.org/officeDocument/2006/relationships/hyperlink" Target="http://co.mouser.com/ProductDetail/Nordic-Semiconductor/nRF8001-DK/?qs=sGAEpiMZZMuqBwn8WqcFUsaIGBtsoRbgsGWwNM7BdXY%3d" TargetMode="External" Id="Rc795124767a14dac" /><Relationship Type="http://schemas.openxmlformats.org/officeDocument/2006/relationships/hyperlink" Target="http://co.mouser.com/stmicroelectronics/" TargetMode="External" Id="R42eac510c8c34877" /><Relationship Type="http://schemas.openxmlformats.org/officeDocument/2006/relationships/hyperlink" Target="http://co.mouser.com/ProductDetail/STMicroelectronics/M24LR-DISCOVERY/?qs=sGAEpiMZZMsDsvR9Yj%2fex1KlHKzq8ixG" TargetMode="External" Id="R05eb97efc058492f" /><Relationship Type="http://schemas.openxmlformats.org/officeDocument/2006/relationships/hyperlink" Target="http://co.mouser.com/embeddedartists/" TargetMode="External" Id="Rf27eae4f83684ebd" /><Relationship Type="http://schemas.openxmlformats.org/officeDocument/2006/relationships/hyperlink" Target="http://co.mouser.com/ProductDetail/Embedded-Artists/EA-LCD-009/?qs=sGAEpiMZZMuaZ6qCwrv0XC6kfV9ELyYj" TargetMode="External" Id="Reb298d1eaddf4aec" /><Relationship Type="http://schemas.openxmlformats.org/officeDocument/2006/relationships/hyperlink" Target="http://co.mouser.com/olimex/" TargetMode="External" Id="R652d847d8ffa492b" /><Relationship Type="http://schemas.openxmlformats.org/officeDocument/2006/relationships/hyperlink" Target="http://co.mouser.com/ProductDetail/Olimex-Ltd/OLIMEXINO-STM32/?qs=sGAEpiMZZMsUcx5t7XFI3Z5HrEKlvGsZ" TargetMode="External" Id="Reb3e2cccbec448ef" /><Relationship Type="http://schemas.openxmlformats.org/officeDocument/2006/relationships/hyperlink" Target="http://co.mouser.com/Embedded-Solutions/Engineering-Tools/Embedded-Processor-Development-Tools/Development-Boards-Kits-ARM/ARM-Cortex-M4-Core/_/N-8x0x4Z1yztkji" TargetMode="External" Id="R30f1fb631974478e" /><Relationship Type="http://schemas.openxmlformats.org/officeDocument/2006/relationships/hyperlink" Target="http://co.mouser.com/texasinstruments/" TargetMode="External" Id="R659133f79c6d4c50" /><Relationship Type="http://schemas.openxmlformats.org/officeDocument/2006/relationships/hyperlink" Target="http://co.mouser.com/ProductDetail/Texas-Instruments/EKS-LM4F232/?qs=sGAEpiMZZMtjJbtednZihqPjT55qE9kF" TargetMode="External" Id="Re3f0f2b725294699" /><Relationship Type="http://schemas.openxmlformats.org/officeDocument/2006/relationships/hyperlink" Target="http://co.mouser.com/Embedded-Solutions/Engineering-Tools/Embedded-Processor-Development-Tools/Development-Boards-Kits-ARM/ARM-Cortex-M4-Core/_/N-8x0x4Z1yztkji" TargetMode="External" Id="R6cbe682410934bcc" /><Relationship Type="http://schemas.openxmlformats.org/officeDocument/2006/relationships/hyperlink" Target="http://co.mouser.com/texasinstruments/" TargetMode="External" Id="Reca7e85bacdf49f7" /><Relationship Type="http://schemas.openxmlformats.org/officeDocument/2006/relationships/hyperlink" Target="http://co.mouser.com/ProductDetail/Texas-Instruments/EK-LM4F120XL/?qs=sGAEpiMZZMvjdJbiImeM3kPtFWERvf0k" TargetMode="External" Id="R68ac878968184c89" /><Relationship Type="http://schemas.openxmlformats.org/officeDocument/2006/relationships/hyperlink" Target="http://co.mouser.com/stmicroelectronics/" TargetMode="External" Id="Rc92ffe012bd542fe" /><Relationship Type="http://schemas.openxmlformats.org/officeDocument/2006/relationships/hyperlink" Target="http://co.mouser.com/ProductDetail/STMicroelectronics/ANT2-M24LR16E/?qs=sGAEpiMZZMtEQQVJHfEJqCzg%2fLgvrbeui06ag1GI%2fnY%3d" TargetMode="External" Id="R31265ddd866a44df" /><Relationship Type="http://schemas.openxmlformats.org/officeDocument/2006/relationships/hyperlink" Target="http://co.mouser.com/microchip/" TargetMode="External" Id="Rf4670f48e74f4a9c" /><Relationship Type="http://schemas.openxmlformats.org/officeDocument/2006/relationships/hyperlink" Target="http://co.mouser.com/ProductDetail/Microchip-Technology/SST25VF064C-80-4I-S3AE/?qs=sGAEpiMZZMslEIBZEhsHBtynCL%2fAFBSy" TargetMode="External" Id="R7e8bea29412f4e58" /><Relationship Type="http://schemas.openxmlformats.org/officeDocument/2006/relationships/hyperlink" Target="https://www.sparkfun.com/products/8942" TargetMode="External" Id="R7871f6b35a9d4249" /><Relationship Type="http://schemas.openxmlformats.org/officeDocument/2006/relationships/hyperlink" Target="http://www.mouser.com/raychem" TargetMode="External" Id="R80a0fe46243a4126" /><Relationship Type="http://schemas.openxmlformats.org/officeDocument/2006/relationships/hyperlink" Target="http://www.mouser.com/Search/ProductDetail.aspx?qs=sGAEpiMZZMu7EFbsM1w0ndwajZlVIYt6CJIL%2fOTDrt8%3d" TargetMode="External" Id="Reb8523abb9774ccb" /><Relationship Type="http://schemas.openxmlformats.org/officeDocument/2006/relationships/hyperlink" Target="http://www.mouser.com/littelfuse" TargetMode="External" Id="R29aab079b8c34dff" /><Relationship Type="http://schemas.openxmlformats.org/officeDocument/2006/relationships/hyperlink" Target="http://www.mouser.com/Search/ProductDetail.aspx?qs=sGAEpiMZZMu7EFbsM1w0ncsvG9jkE6C42%2fzjmHKNq%2fw%3d" TargetMode="External" Id="Rbe320c5447194490" /><Relationship Type="http://schemas.openxmlformats.org/officeDocument/2006/relationships/hyperlink" Target="http://www.mouser.com/fci" TargetMode="External" Id="R2b5be3339c3846a0" /><Relationship Type="http://schemas.openxmlformats.org/officeDocument/2006/relationships/hyperlink" Target="http://www.mouser.com/Search/ProductDetail.aspx?qs=sGAEpiMZZMukXCIZ6E1E4N0RUe7R%2fJ%252bYfn7VGpkQTVM%3d" TargetMode="External" Id="R30bd96b2e6634a33" /><Relationship Type="http://schemas.openxmlformats.org/officeDocument/2006/relationships/hyperlink" Target="http://www.mouser.com/pulse" TargetMode="External" Id="R4c761aab77b94c78" /><Relationship Type="http://schemas.openxmlformats.org/officeDocument/2006/relationships/hyperlink" Target="http://www.mouser.com/Search/ProductDetail.aspx?qs=sGAEpiMZZMsg%252by3WlYCkU0VH6dbXaAbLb2fzebCbxxQ%3d" TargetMode="External" Id="R763834e67b7f4fcc" /><Relationship Type="http://schemas.openxmlformats.org/officeDocument/2006/relationships/hyperlink" Target="http://www.mouser.com/kingbright" TargetMode="External" Id="Reab72d8ce35f42b2" /><Relationship Type="http://schemas.openxmlformats.org/officeDocument/2006/relationships/hyperlink" Target="http://www.mouser.com/Search/ProductDetail.aspx?qs=sGAEpiMZZMuus4pmcqQnztsRs6ARIlrv9pjL3VXFWZE%3d" TargetMode="External" Id="R9ef96f10e7f3493f" /><Relationship Type="http://schemas.openxmlformats.org/officeDocument/2006/relationships/hyperlink" Target="http://www.mouser.com/kingbright" TargetMode="External" Id="Rdc62251873f7466c" /><Relationship Type="http://schemas.openxmlformats.org/officeDocument/2006/relationships/hyperlink" Target="http://www.mouser.com/Search/ProductDetail.aspx?qs=sGAEpiMZZMuus4pmcqQnzlDWcIR4NHeCfDa8LgiOzOA%3d" TargetMode="External" Id="Re19949eef6ff46d2" /><Relationship Type="http://schemas.openxmlformats.org/officeDocument/2006/relationships/hyperlink" Target="http://www.mouser.com/Search/ProductDetail.aspx?qs=sGAEpiMZZMvoTN%2fLRl0ZKeXCnKyuOk%2fysESD8wbPlkg%3d" TargetMode="External" Id="R11e1de881e984966" /><Relationship Type="http://schemas.openxmlformats.org/officeDocument/2006/relationships/hyperlink" Target="http://www.mouser.com/onsemiconductor" TargetMode="External" Id="Rcc118cd7e5b44490" /><Relationship Type="http://schemas.openxmlformats.org/officeDocument/2006/relationships/hyperlink" Target="http://www.mouser.com/Search/ProductDetail.aspx?qs=sGAEpiMZZMveMCOqFR6qCDdExr5FUN%2fINlVni%2fF9JP4%3d" TargetMode="External" Id="R911ccb09f2cf4eed" /><Relationship Type="http://schemas.openxmlformats.org/officeDocument/2006/relationships/hyperlink" Target="http://www.mouser.com/Search/ProductDetail.aspx?qs=sGAEpiMZZMu0ojHvF9cQKEYDjH3SzS2YaZhkQ6aaD%2fs%3d" TargetMode="External" Id="R1e62e5117a494d79" /><Relationship Type="http://schemas.openxmlformats.org/officeDocument/2006/relationships/hyperlink" Target="http://www.mouser.com/bourns" TargetMode="External" Id="R206559bc04654ce0" /><Relationship Type="http://schemas.openxmlformats.org/officeDocument/2006/relationships/hyperlink" Target="http://www.mouser.com/Search/ProductDetail.aspx?qs=sGAEpiMZZMuePK0qpWfvkfJAVd8sFRfMsNkvcOvgDYw%3d" TargetMode="External" Id="Raa510b5dcfd8425e" /><Relationship Type="http://schemas.openxmlformats.org/officeDocument/2006/relationships/hyperlink" Target="http://www.mouser.com/dale" TargetMode="External" Id="R8f8fd5d38d474418" /><Relationship Type="http://schemas.openxmlformats.org/officeDocument/2006/relationships/hyperlink" Target="http://www.mouser.com/Search/ProductDetail.aspx?qs=sGAEpiMZZMu0ojHvF9cQKDJWckXD2ZBKpLKA91B0JS4%3d" TargetMode="External" Id="R2936e7d9b4fa47ad" /><Relationship Type="http://schemas.openxmlformats.org/officeDocument/2006/relationships/hyperlink" Target="http://www.mouser.com/Search/ProductDetail.aspx?qs=sGAEpiMZZMu0ojHvF9cQKPkPxhQGS8T2%2fas1%252bhz%252bUbg%3d" TargetMode="External" Id="Rc3fd20c543fa4b4d" /><Relationship Type="http://schemas.openxmlformats.org/officeDocument/2006/relationships/hyperlink" Target="http://www.mouser.com/Search/ProductDetail.aspx?qs=sGAEpiMZZMu0ojHvF9cQKGyZUg99PI0VDWzZCUEJ%252bUI%3d" TargetMode="External" Id="R74a9363225c04b28" /><Relationship Type="http://schemas.openxmlformats.org/officeDocument/2006/relationships/hyperlink" Target="http://www.mouser.com/Search/ProductDetail.aspx?qs=sGAEpiMZZMu0ojHvF9cQKJzo0v3IbpVCGc8WEijJ5iU%3d" TargetMode="External" Id="R97e9eb708b1a4a52" /><Relationship Type="http://schemas.openxmlformats.org/officeDocument/2006/relationships/hyperlink" Target="http://www.mouser.com/Search/ProductDetail.aspx?qs=sGAEpiMZZMu0ojHvF9cQKNiVATQ4UggePS1%2fp3xg8%252bE%3d" TargetMode="External" Id="Rbb5187bc1db4483e" /><Relationship Type="http://schemas.openxmlformats.org/officeDocument/2006/relationships/hyperlink" Target="http://www.mouser.com/Search/ProductDetail.aspx?qs=sGAEpiMZZMu0ojHvF9cQKLlDWxR7VH8EeTKlV6uBc34%3d" TargetMode="External" Id="Raebf7474dea448c8" /><Relationship Type="http://schemas.openxmlformats.org/officeDocument/2006/relationships/hyperlink" Target="http://www.mouser.com/vincotech" TargetMode="External" Id="Rddbb89b791f147fd" /><Relationship Type="http://schemas.openxmlformats.org/officeDocument/2006/relationships/hyperlink" Target="http://www.mouser.com/Search/ProductDetail.aspx?qs=sGAEpiMZZMsjLMBIknjmkpf%2fx1XUpQKFVG2JWdqG19E%3d" TargetMode="External" Id="R8766beb8443a4362" /><Relationship Type="http://schemas.openxmlformats.org/officeDocument/2006/relationships/hyperlink" Target="http://www.mouser.com/Search/ProductDetail.aspx?qs=sGAEpiMZZMu%252byDKIQBKlyaV3frt%2fxPQbg7VbvQK4JzQ%3d" TargetMode="External" Id="R51ae0d57b5b446ee" /><Relationship Type="http://schemas.openxmlformats.org/officeDocument/2006/relationships/hyperlink" Target="http://www.mouser.com/jae" TargetMode="External" Id="Rcef10ae844d249d1" /><Relationship Type="http://schemas.openxmlformats.org/officeDocument/2006/relationships/hyperlink" Target="http://www.mouser.com/Search/ProductDetail.aspx?qs=sGAEpiMZZMv12%252brFPZJrWevAFXKgE1mLAqE6sS5iGlw%3d" TargetMode="External" Id="R44698d53f5ff4019" /><Relationship Type="http://schemas.openxmlformats.org/officeDocument/2006/relationships/hyperlink" Target="http://www.mouser.com/onsemiconductor" TargetMode="External" Id="R89ef00fcef354668" /><Relationship Type="http://schemas.openxmlformats.org/officeDocument/2006/relationships/hyperlink" Target="http://www.mouser.com/Search/ProductDetail.aspx?qs=sGAEpiMZZMtEwUVCuofpuH3nxLaZOs5XaUXJ4DC2xLU%3d" TargetMode="External" Id="R6132fd1e16614880" /><Relationship Type="http://schemas.openxmlformats.org/officeDocument/2006/relationships/hyperlink" Target="http://www.mouser.com/st" TargetMode="External" Id="Rf20da3d502694cfa" /><Relationship Type="http://schemas.openxmlformats.org/officeDocument/2006/relationships/hyperlink" Target="http://www.mouser.com/Search/ProductDetail.aspx?qs=sGAEpiMZZMsYiK5PgaDog70ZdXtV9MsQ3w0elAH7PWo%3d" TargetMode="External" Id="R9a42d099fc2d4ef3" /><Relationship Type="http://schemas.openxmlformats.org/officeDocument/2006/relationships/hyperlink" Target="http://www.mouser.com/amp" TargetMode="External" Id="Ra488d64da3954b91" /><Relationship Type="http://schemas.openxmlformats.org/officeDocument/2006/relationships/hyperlink" Target="http://www.mouser.com/Search/ProductDetail.aspx?qs=sGAEpiMZZMtqi3rrGzC6km9s38wRU9gykqMZcOOeygY%3d" TargetMode="External" Id="Rc7cf1659f4e84f54" /><Relationship Type="http://schemas.openxmlformats.org/officeDocument/2006/relationships/hyperlink" Target="http://search.digikey.com/scripts/DkSearch/dksus.dll?Detail&amp;name=609-2803-ND" TargetMode="External" Id="R11e4ec606fbe4590" /><Relationship Type="http://schemas.openxmlformats.org/officeDocument/2006/relationships/hyperlink" Target="http://www.mouser.com/Search/ProductDetail.aspx?qs=sGAEpiMZZMukXCIZ6E1E4DxrfdHlBbqOWNu%2fHCLidzU%3d" TargetMode="External" Id="Rebb21a00c7914f9d" /><Relationship Type="http://schemas.openxmlformats.org/officeDocument/2006/relationships/hyperlink" Target="http://www.mouser.com/Search/ProductDetail.aspx?qs=sGAEpiMZZMvT7Of4ktfHLnNTlWAYMM38vs%252bY8EubqZs%3d" TargetMode="External" Id="Rb964bee6b3294a4c" /><Relationship Type="http://schemas.openxmlformats.org/officeDocument/2006/relationships/hyperlink" Target="http://www.mouser.com/Search/ProductDetail.aspx?qs=sGAEpiMZZMsrGrAVj6eTvdKKbK52bf38uaO9Sd87lx8%3d" TargetMode="External" Id="R1d91059f76d14f90" /><Relationship Type="http://schemas.openxmlformats.org/officeDocument/2006/relationships/table" Target="/xl/tables/table1.xml" Id="R05ad2bacc05a48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8fdf814fbc44d4" /></Relationships>
</file>

<file path=xl/worksheets/sheet1.xml><?xml version="1.0" encoding="utf-8"?>
<x:worksheet xmlns:x="http://schemas.openxmlformats.org/spreadsheetml/2006/main">
  <x:sheetFormatPr baseColWidth="10" defaultRowHeight="15"/>
  <x:cols>
    <x:col min="2" max="2" width="16" hidden="0" customWidth="1"/>
    <x:col min="3" max="3" width="26" hidden="0" customWidth="1"/>
    <x:col min="4" max="4" width="27" hidden="0" customWidth="1"/>
    <x:col min="5" max="5" width="9" hidden="0" customWidth="1"/>
    <x:col min="6" max="6" width="38" hidden="0" customWidth="1"/>
    <x:col min="7" max="7" width="24" hidden="0" customWidth="1"/>
    <x:col min="8" max="8" width="16" hidden="0" customWidth="1"/>
    <x:col min="13" max="13" width="13" hidden="0" customWidth="1"/>
    <x:col min="15" max="15" width="24.5703125" customWidth="1"/>
    <x:col min="1" max="1" width="6" hidden="0" customWidth="1"/>
    <x:col min="9" max="9" width="16" hidden="0" customWidth="1"/>
    <x:col min="10" max="10" width="14" hidden="0" customWidth="1"/>
    <x:col min="11" max="11" width="38" hidden="0" customWidth="1"/>
    <x:col min="12" max="12" width="38" hidden="0" customWidth="1"/>
    <x:col min="14" max="14" width="40" hidden="0" customWidth="1"/>
  </x:cols>
  <x:sheetData>
    <x:row r="1" ht="28" customHeight="1">
      <x:c r="A1" s="69" t="str">
        <x:v>BOM — Tostador automatizado de café (prototipo universitario)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</x:row>
    <x:row r="2" ht="30" customHeight="1">
      <x:c r="A2" s="83" t="str">
        <x:v>Base: ESP32 + termocupla K/MAX6675 + SSR + calentamiento AC + motorreductor + LCD 16×2 I2C</x:v>
      </x:c>
      <x:c r="B2" s="83"/>
      <x:c r="C2" s="83"/>
      <x:c r="D2" s="83"/>
      <x:c r="E2" s="83"/>
      <x:c r="F2" s="83"/>
      <x:c r="G2" s="83"/>
      <x:c r="H2" s="83"/>
      <x:c r="I2" s="84"/>
      <x:c r="J2" s="84"/>
      <x:c r="K2" s="84"/>
      <x:c r="L2" s="84"/>
      <x:c r="M2" s="84"/>
      <x:c r="N2" s="84"/>
      <x:c r="O2" s="29"/>
      <x:c r="P2" s="29"/>
      <x:c r="Q2" s="29"/>
    </x:row>
    <x:row r="3" ht="30" customHeight="1">
      <x:c r="A3" s="103" t="str">
        <x:v>Criterio de selección: componentes económicos, comunes y fáciles de reemplazar. Precios consultados 14/09/2026; no incluyen envío. Capacidad objetivo propuesta: ~100 g por ciclo.</x:v>
      </x:c>
      <x:c r="B3" s="103"/>
      <x:c r="C3" s="103"/>
      <x:c r="D3" s="103"/>
      <x:c r="E3" s="103"/>
      <x:c r="F3" s="103"/>
      <x:c r="G3" s="101"/>
      <x:c r="H3" s="102"/>
      <x:c r="I3" s="103"/>
      <x:c r="J3" s="103"/>
      <x:c r="K3" s="103"/>
      <x:c r="L3" s="103"/>
      <x:c r="M3" s="103"/>
      <x:c r="N3" s="103"/>
      <x:c r="O3" s="14"/>
      <x:c r="P3" s="14"/>
      <x:c r="Q3" s="14"/>
    </x:row>
    <x:row r="4">
      <x:c r="A4" s="1"/>
      <x:c r="B4" s="2"/>
      <x:c r="C4" s="1"/>
      <x:c r="D4" s="36"/>
      <x:c r="E4" s="1"/>
      <x:c r="F4" s="33"/>
      <x:c r="G4" s="35"/>
      <x:c r="H4" s="34"/>
      <x:c r="I4" s="1"/>
      <x:c r="J4" s="1"/>
      <x:c r="K4" s="7"/>
      <x:c r="L4" s="7"/>
      <x:c r="M4" s="2"/>
      <x:c r="N4" s="2"/>
      <x:c r="O4" s="10"/>
      <x:c r="P4" s="1"/>
      <x:c r="Q4" s="1"/>
    </x:row>
    <x:row r="5">
      <x:c r="A5" s="1"/>
      <x:c r="B5" s="2"/>
      <x:c r="C5" s="36"/>
      <x:c r="D5" s="36"/>
      <x:c r="E5" s="1"/>
      <x:c r="F5" s="33"/>
      <x:c r="G5" s="35"/>
      <x:c r="H5" s="16"/>
      <x:c r="I5" s="1"/>
      <x:c r="J5" s="1"/>
      <x:c r="K5" s="7"/>
      <x:c r="L5" s="7">
        <x:f t="shared" ref="L5:L44" si="0">B5*J5</x:f>
      </x:c>
      <x:c r="M5" s="2"/>
      <x:c r="N5" s="2"/>
      <x:c r="O5" s="10"/>
      <x:c r="P5" s="1"/>
      <x:c r="Q5" s="1"/>
    </x:row>
    <x:row r="6" ht="34" customHeight="1">
      <x:c r="A6" s="134" t="str">
        <x:v>Ítem</x:v>
      </x:c>
      <x:c r="B6" s="134" t="str">
        <x:v>Categoría</x:v>
      </x:c>
      <x:c r="C6" s="133" t="str">
        <x:v>Componente</x:v>
      </x:c>
      <x:c r="D6" s="133" t="str">
        <x:v>Referencia / modelo</x:v>
      </x:c>
      <x:c r="E6" s="134" t="str">
        <x:v>Cantidad</x:v>
      </x:c>
      <x:c r="F6" s="133" t="str">
        <x:v>Especificación seleccionada</x:v>
      </x:c>
      <x:c r="G6" s="132" t="str">
        <x:v>Proveedor</x:v>
      </x:c>
      <x:c r="H6" s="133" t="str">
        <x:v>Precio unitario (COP)</x:v>
      </x:c>
      <x:c r="I6" s="134" t="str">
        <x:v>Subtotal (COP)</x:v>
      </x:c>
      <x:c r="J6" s="134" t="str">
        <x:v>Estado precio</x:v>
      </x:c>
      <x:c r="K6" s="134" t="str">
        <x:f t="shared" ref="K6:K20" si="1">B6*I6</x:f>
        <x:v>Enlace de compra</x:v>
      </x:c>
      <x:c r="L6" s="134" t="str">
        <x:f t="shared" si="0"/>
        <x:v>Datasheet / ficha</x:v>
      </x:c>
      <x:c r="M6" s="134" t="str">
        <x:v>Prioridad</x:v>
      </x:c>
      <x:c r="N6" s="290" t="str">
        <x:v>Observaciones</x:v>
      </x:c>
      <x:c r="O6" s="10"/>
      <x:c r="P6" s="1"/>
      <x:c r="Q6" s="1"/>
    </x:row>
    <x:row r="7" ht="54" customHeight="1">
      <x:c r="A7" s="225" t="n">
        <x:v>1</x:v>
      </x:c>
      <x:c r="B7" s="225" t="str">
        <x:v>Control</x:v>
      </x:c>
      <x:c r="C7" s="192" t="str">
        <x:v>Tarjeta de desarrollo ESP32</x:v>
      </x:c>
      <x:c r="D7" s="224" t="str">
        <x:v>ESP32 DevKit32 / ESP32-WROOM-32D</x:v>
      </x:c>
      <x:c r="E7" s="225" t="n">
        <x:v>1</x:v>
      </x:c>
      <x:c r="F7" s="193" t="str">
        <x:v>30 pines, lógica 3.3 V, Wi‑Fi/Bluetooth, USB-C/CH340</x:v>
      </x:c>
      <x:c r="G7" s="226" t="str">
        <x:v>Didácticas Electrónicas</x:v>
      </x:c>
      <x:c r="H7" s="266" t="n">
        <x:v>20106.24</x:v>
      </x:c>
      <x:c r="I7" s="267" t="n">
        <x:f>IF(OR(E7="",H7=""),"",E7*H7)</x:f>
        <x:v>20106.24</x:v>
      </x:c>
      <x:c r="J7" s="224" t="str">
        <x:v>Confirmado</x:v>
      </x:c>
      <x:c r="K7" s="227" t="str">
        <x:f t="shared" si="1"/>
        <x:v>https://www.didacticaselectronicas.com/shop/d-esp32s-30p-ch340-tarjeta-de-desarrollo-devkit32-esp32s-ch340-39069</x:v>
      </x:c>
      <x:c r="L7" s="227" t="str">
        <x:f t="shared" si="0"/>
        <x:v>https://documentation.espressif.com/esp32-wroom-32d_esp32-wroom-32u_datasheet_en.pdf</x:v>
      </x:c>
      <x:c r="M7" s="225" t="str">
        <x:v>Esencial</x:v>
      </x:c>
      <x:c r="N7" s="291" t="str">
        <x:v>Microcontrolador principal; no se requiere una variante más reciente.</x:v>
      </x:c>
      <x:c r="O7" s="10"/>
      <x:c r="P7" s="1"/>
      <x:c r="Q7" s="1"/>
    </x:row>
    <x:row r="8" ht="54" customHeight="1">
      <x:c r="A8" s="225" t="n">
        <x:v>2</x:v>
      </x:c>
      <x:c r="B8" s="225" t="str">
        <x:v>Sensado</x:v>
      </x:c>
      <x:c r="C8" s="192" t="str">
        <x:v>Módulo MAX6675 + termocupla Tipo K</x:v>
      </x:c>
      <x:c r="D8" s="228" t="str">
        <x:v>SEN-TERMO-K / MAX6675</x:v>
      </x:c>
      <x:c r="E8" s="225" t="n">
        <x:v>1</x:v>
      </x:c>
      <x:c r="F8" s="193" t="str">
        <x:v>SPI, resolución 0.25 °C; kit con sonda tipo K</x:v>
      </x:c>
      <x:c r="G8" s="226" t="str">
        <x:v>Didácticas Electrónicas</x:v>
      </x:c>
      <x:c r="H8" s="266" t="n">
        <x:v>12985.28</x:v>
      </x:c>
      <x:c r="I8" s="267" t="n">
        <x:f>IF(OR(E8="",H8=""),"",E8*H8)</x:f>
        <x:v>12985.28</x:v>
      </x:c>
      <x:c r="J8" s="224" t="str">
        <x:v>Confirmado</x:v>
      </x:c>
      <x:c r="K8" s="227" t="str">
        <x:f t="shared" si="1"/>
        <x:v>https://www.didacticaselectronicas.com/shop/sen-termo-k-modulo-sensor-de-temperatura-tipo-k-3460</x:v>
      </x:c>
      <x:c r="L8" s="227" t="str">
        <x:f t="shared" si="0"/>
        <x:v>https://www.analog.com/media/en/technical-documentation/data-sheets/MAX6675.pdf</x:v>
      </x:c>
      <x:c r="M8" s="225" t="str">
        <x:v>Esencial</x:v>
      </x:c>
      <x:c r="N8" s="291" t="str">
        <x:v>La sonda genérica se documenta además con la ficha del proveedor.</x:v>
      </x:c>
      <x:c r="O8" s="10"/>
      <x:c r="P8" s="1"/>
      <x:c r="Q8" s="1"/>
    </x:row>
    <x:row r="9" ht="54" customHeight="1">
      <x:c r="A9" s="225" t="n">
        <x:v>3</x:v>
      </x:c>
      <x:c r="B9" s="225" t="str">
        <x:v>Interfaz</x:v>
      </x:c>
      <x:c r="C9" s="192" t="str">
        <x:v>Pantalla LCD 16×2 con I2C</x:v>
      </x:c>
      <x:c r="D9" s="228" t="str">
        <x:v>LCD1602 I2C azul / PCF8574</x:v>
      </x:c>
      <x:c r="E9" s="225" t="n">
        <x:v>1</x:v>
      </x:c>
      <x:c r="F9" s="193" t="str">
        <x:v>16×2 caracteres, 5 V, interfaz I2C</x:v>
      </x:c>
      <x:c r="G9" s="226" t="str">
        <x:v>Didácticas Electrónicas</x:v>
      </x:c>
      <x:c r="H9" s="266" t="n">
        <x:v>15331.96</x:v>
      </x:c>
      <x:c r="I9" s="267" t="n">
        <x:f>IF(OR(E9="",H9=""),"",E9*H9)</x:f>
        <x:v>15331.96</x:v>
      </x:c>
      <x:c r="J9" s="224" t="str">
        <x:v>Confirmado</x:v>
      </x:c>
      <x:c r="K9" s="227" t="str">
        <x:f t="shared" si="1"/>
        <x:v>https://www.didacticaselectronicas.com/shop/lcd-1602-i2c-a-display-lcd-16x2-interfaz-i2c-azul-7494</x:v>
      </x:c>
      <x:c r="L9" s="227" t="str">
        <x:f t="shared" si="0"/>
        <x:v>https://www.nxp.com/docs/en/data-sheet/PCF8574_PCF8574A.pdf</x:v>
      </x:c>
      <x:c r="M9" s="225" t="str">
        <x:v>Esencial</x:v>
      </x:c>
      <x:c r="N9" s="291" t="str">
        <x:v>Mostrar temperatura, perfil, tiempo y estado.</x:v>
      </x:c>
      <x:c r="O9" s="10"/>
      <x:c r="P9" s="1"/>
      <x:c r="Q9" s="1"/>
    </x:row>
    <x:row r="10" ht="54" customHeight="1">
      <x:c r="A10" s="225" t="n">
        <x:v>4</x:v>
      </x:c>
      <x:c r="B10" s="225" t="str">
        <x:v>Interfaz</x:v>
      </x:c>
      <x:c r="C10" s="192" t="str">
        <x:v>Conversor de nivel lógico bidireccional</x:v>
      </x:c>
      <x:c r="D10" s="192" t="str">
        <x:v>BSS138, 4 canales</x:v>
      </x:c>
      <x:c r="E10" s="225" t="n">
        <x:v>1</x:v>
      </x:c>
      <x:c r="F10" s="193" t="str">
        <x:v>Conversión 3.3 V ↔ 5 V para SDA/SCL</x:v>
      </x:c>
      <x:c r="G10" s="226" t="str">
        <x:v>Electronilab</x:v>
      </x:c>
      <x:c r="H10" s="266" t="n">
        <x:v>5900</x:v>
      </x:c>
      <x:c r="I10" s="267" t="n">
        <x:f>IF(OR(E10="",H10=""),"",E10*H10)</x:f>
        <x:v>5900</x:v>
      </x:c>
      <x:c r="J10" s="224" t="str">
        <x:v>Confirmado</x:v>
      </x:c>
      <x:c r="K10" s="227" t="str">
        <x:v>https://electronilab.co/tienda/conversor-de-niveles-bss138-de-4-canales-bidireccional-5v-a-3-3v/</x:v>
      </x:c>
      <x:c r="L10" s="227" t="str">
        <x:f t="shared" si="0"/>
        <x:v>https://www.onsemi.com/pdf/datasheet/bss138-d.pdf</x:v>
      </x:c>
      <x:c r="M10" s="225" t="str">
        <x:v>Recomendado</x:v>
      </x:c>
      <x:c r="N10" s="291" t="str">
        <x:v>Evita aplicar pull-ups de 5 V del backpack I2C directamente al ESP32.</x:v>
      </x:c>
      <x:c r="O10" s="10"/>
      <x:c r="P10" s="1"/>
      <x:c r="Q10" s="1"/>
    </x:row>
    <x:row r="11" ht="54" customHeight="1">
      <x:c r="A11" s="225" t="n">
        <x:v>5</x:v>
      </x:c>
      <x:c r="B11" s="225" t="str">
        <x:v>Potencia AC</x:v>
      </x:c>
      <x:c r="C11" s="192" t="str">
        <x:v>Relé de estado sólido</x:v>
      </x:c>
      <x:c r="D11" s="195" t="str">
        <x:v>SSR-40DA</x:v>
      </x:c>
      <x:c r="E11" s="225" t="n">
        <x:v>1</x:v>
      </x:c>
      <x:c r="F11" s="193" t="str">
        <x:v>Entrada 3–32 VDC, salida 24–380 VAC, nominal 40 A</x:v>
      </x:c>
      <x:c r="G11" s="226" t="str">
        <x:v>Sigma Electrónica</x:v>
      </x:c>
      <x:c r="H11" s="266" t="n">
        <x:v>26180</x:v>
      </x:c>
      <x:c r="I11" s="267" t="n">
        <x:f>IF(OR(E11="",H11=""),"",E11*H11)</x:f>
        <x:v>26180</x:v>
      </x:c>
      <x:c r="J11" s="224" t="str">
        <x:v>Confirmado</x:v>
      </x:c>
      <x:c r="K11" s="227" t="str">
        <x:f t="shared" si="1"/>
        <x:v>https://www.sigmaelectronica.net/producto/ssr-40da/</x:v>
      </x:c>
      <x:c r="L11" s="227" t="str">
        <x:f t="shared" si="0"/>
        <x:v>https://www.sigmaelectronica.net/wp-content/uploads/2017/08/SSR40DA.pdf</x:v>
      </x:c>
      <x:c r="M11" s="225" t="str">
        <x:v>Esencial</x:v>
      </x:c>
      <x:c r="N11" s="291" t="str">
        <x:v>Controla los calefactores; requiere montaje térmico y aislamiento de red.</x:v>
      </x:c>
      <x:c r="O11" s="10"/>
      <x:c r="P11" s="1"/>
      <x:c r="Q11" s="1"/>
    </x:row>
    <x:row r="12" ht="54" customHeight="1">
      <x:c r="A12" s="225" t="n">
        <x:v>6</x:v>
      </x:c>
      <x:c r="B12" s="225" t="str">
        <x:v>Interfaz de potencia</x:v>
      </x:c>
      <x:c r="C12" s="224" t="str">
        <x:v>Transistor NPN</x:v>
      </x:c>
      <x:c r="D12" s="224" t="str">
        <x:v>2N2222 / P2N2222A</x:v>
      </x:c>
      <x:c r="E12" s="225" t="n">
        <x:v>1</x:v>
      </x:c>
      <x:c r="F12" s="224" t="str">
        <x:v>Etapa simple para excitar con margen la entrada del SSR</x:v>
      </x:c>
      <x:c r="G12" s="229" t="str">
        <x:v>Didácticas Electrónicas</x:v>
      </x:c>
      <x:c r="H12" s="268" t="n">
        <x:v>95.2</x:v>
      </x:c>
      <x:c r="I12" s="267" t="n">
        <x:f>IF(OR(E12="",H12=""),"",E12*H12)</x:f>
        <x:v>95.2</x:v>
      </x:c>
      <x:c r="J12" s="224" t="str">
        <x:v>Confirmado</x:v>
      </x:c>
      <x:c r="K12" s="227" t="str">
        <x:f t="shared" si="1"/>
        <x:v>https://www.didacticaselectronicas.com/shop/2n2222-transistor-npn-40v-600ma-to-92-583</x:v>
      </x:c>
      <x:c r="L12" s="227" t="str">
        <x:f t="shared" si="0"/>
        <x:v>https://www.onsemi.com/pdf/datasheet/p2n2222a-d.pdf</x:v>
      </x:c>
      <x:c r="M12" s="225" t="str">
        <x:v>Recomendado</x:v>
      </x:c>
      <x:c r="N12" s="291" t="str">
        <x:v>Permite manejar el SSR desde 5 V sin exigir al GPIO del ESP32.</x:v>
      </x:c>
      <x:c r="O12" s="10"/>
      <x:c r="P12" s="1"/>
      <x:c r="Q12" s="1"/>
    </x:row>
    <x:row r="13" ht="54" customHeight="1">
      <x:c r="A13" s="225" t="n">
        <x:v>7</x:v>
      </x:c>
      <x:c r="B13" s="225" t="str">
        <x:v>Interfaz de potencia</x:v>
      </x:c>
      <x:c r="C13" s="224" t="str">
        <x:v>Resistencia 1 kΩ 1/4 W</x:v>
      </x:c>
      <x:c r="D13" s="224" t="str">
        <x:v>R-1K-1/4W (paquete x10)</x:v>
      </x:c>
      <x:c r="E13" s="225" t="n">
        <x:v>1</x:v>
      </x:c>
      <x:c r="F13" s="224" t="str">
        <x:v>Resistencia de base para 2N2222</x:v>
      </x:c>
      <x:c r="G13" s="231" t="str">
        <x:v>Didácticas Electrónicas</x:v>
      </x:c>
      <x:c r="H13" s="268" t="n">
        <x:v>452.2</x:v>
      </x:c>
      <x:c r="I13" s="267" t="n">
        <x:f>IF(OR(E13="",H13=""),"",E13*H13)</x:f>
        <x:v>452.2</x:v>
      </x:c>
      <x:c r="J13" s="224" t="str">
        <x:v>Confirmado</x:v>
      </x:c>
      <x:c r="K13" s="227" t="str">
        <x:f t="shared" si="1"/>
        <x:v>https://www.didacticaselectronicas.com/shop/r-1k-1-4w-resistencias-1k-1-4-w-paquete-de-10-unidades-9579</x:v>
      </x:c>
      <x:c r="L13" s="227" t="str">
        <x:f t="shared" si="0"/>
      </x:c>
      <x:c r="M13" s="225" t="str">
        <x:v>Recomendado</x:v>
      </x:c>
      <x:c r="N13" s="291" t="str">
        <x:v>Se compra un paquete; solo se utiliza una en esta etapa.</x:v>
      </x:c>
      <x:c r="O13" s="17"/>
      <x:c r="P13" s="1"/>
      <x:c r="Q13" s="1"/>
    </x:row>
    <x:row r="14" ht="54" customHeight="1">
      <x:c r="A14" s="225" t="n">
        <x:v>8</x:v>
      </x:c>
      <x:c r="B14" s="225" t="str">
        <x:v>Calentamiento</x:v>
      </x:c>
      <x:c r="C14" s="224" t="str">
        <x:v>Elemento calefactor de cartucho</x:v>
      </x:c>
      <x:c r="D14" s="224" t="str">
        <x:v>LJX-9x50-110VAC-180W</x:v>
      </x:c>
      <x:c r="E14" s="225" t="n">
        <x:v>2</x:v>
      </x:c>
      <x:c r="F14" s="224" t="str">
        <x:v>110 VAC, 180 W cada uno, 9×50 mm; potencia total instalada 360 W</x:v>
      </x:c>
      <x:c r="G14" s="231" t="str">
        <x:v>Didácticas Electrónicas</x:v>
      </x:c>
      <x:c r="H14" s="268" t="n">
        <x:v>35999.8</x:v>
      </x:c>
      <x:c r="I14" s="267" t="n">
        <x:f>IF(OR(E14="",H14=""),"",E14*H14)</x:f>
        <x:v>71999.6</x:v>
      </x:c>
      <x:c r="J14" s="224" t="str">
        <x:v>Confirmado</x:v>
      </x:c>
      <x:c r="K14" s="227" t="str">
        <x:f t="shared" si="1"/>
        <x:v>https://www.didacticaselectronicas.com/shop/ljx-9x50-110vac-180w-elemento-calefactor-de-cartucho-9x50mm-180w-24051</x:v>
      </x:c>
      <x:c r="L14" s="227" t="str">
        <x:f t="shared" si="0"/>
        <x:v>https://www.didacticaselectronicas.com/shop/ljx-9x50-110vac-180w-elemento-calefactor-de-cartucho-9x50mm-180w-24051</x:v>
      </x:c>
      <x:c r="M14" s="225" t="str">
        <x:v>Esencial</x:v>
      </x:c>
      <x:c r="N14" s="291" t="str">
        <x:v>Se usan 2 unidades por disponibilidad local y mejor distribución térmica.</x:v>
      </x:c>
      <x:c r="O14" s="20"/>
      <x:c r="P14" s="1"/>
      <x:c r="Q14" s="1"/>
    </x:row>
    <x:row r="15" ht="54" customHeight="1">
      <x:c r="A15" s="225" t="n">
        <x:v>9</x:v>
      </x:c>
      <x:c r="B15" s="225" t="str">
        <x:v>Agitación</x:v>
      </x:c>
      <x:c r="C15" s="232" t="str">
        <x:v>Motorreductor DC</x:v>
      </x:c>
      <x:c r="D15" s="232" t="str">
        <x:v>JGY370 12 V / 30 RPM</x:v>
      </x:c>
      <x:c r="E15" s="252" t="n">
        <x:v>1</x:v>
      </x:c>
      <x:c r="F15" s="233" t="str">
        <x:v>12 V, 30 RPM, engranajes metálicos; aprox. 3.8 kg·cm en carga</x:v>
      </x:c>
      <x:c r="G15" s="228" t="str">
        <x:v>Didácticas Electrónicas</x:v>
      </x:c>
      <x:c r="H15" s="268" t="n">
        <x:v>42767.41</x:v>
      </x:c>
      <x:c r="I15" s="267" t="n">
        <x:f>IF(OR(E15="",H15=""),"",E15*H15)</x:f>
        <x:v>42767.41</x:v>
      </x:c>
      <x:c r="J15" s="224" t="str">
        <x:v>Confirmado</x:v>
      </x:c>
      <x:c r="K15" s="227" t="str">
        <x:f t="shared" si="1"/>
        <x:v>https://www.didacticaselectronicas.com/shop/jgy370-12v-30rpm-motor-de-engranaje-metalico-12v-30rpm-40967</x:v>
      </x:c>
      <x:c r="L15" s="227" t="str">
        <x:f t="shared" si="0"/>
        <x:v>https://www.didacticaselectronicas.com/shop/jgy370-12v-30rpm-motor-de-engranaje-metalico-12v-30rpm-40967</x:v>
      </x:c>
      <x:c r="M15" s="225" t="str">
        <x:v>Esencial</x:v>
      </x:c>
      <x:c r="N15" s="292" t="str">
        <x:v>30 RPM prioriza torque y una agitación lenta; no se necesita encoder.</x:v>
      </x:c>
      <x:c r="O15" s="10"/>
      <x:c r="P15" s="32"/>
      <x:c r="Q15" s="1"/>
    </x:row>
    <x:row r="16" ht="54" customHeight="1">
      <x:c r="A16" s="225" t="n">
        <x:v>10</x:v>
      </x:c>
      <x:c r="B16" s="225" t="str">
        <x:v>Agitación</x:v>
      </x:c>
      <x:c r="C16" s="224" t="str">
        <x:v>Driver de motor DC</x:v>
      </x:c>
      <x:c r="D16" s="224" t="str">
        <x:v>Módulo L298N</x:v>
      </x:c>
      <x:c r="E16" s="225" t="n">
        <x:v>1</x:v>
      </x:c>
      <x:c r="F16" s="234" t="str">
        <x:v>Puente H; alimentación de potencia 5–35 V; módulo sencillo y común</x:v>
      </x:c>
      <x:c r="G16" s="231" t="str">
        <x:v>Sigma Electrónica</x:v>
      </x:c>
      <x:c r="H16" s="268" t="n">
        <x:v>17969</x:v>
      </x:c>
      <x:c r="I16" s="267" t="n">
        <x:f>IF(OR(E16="",H16=""),"",E16*H16)</x:f>
        <x:v>17969</x:v>
      </x:c>
      <x:c r="J16" s="224" t="str">
        <x:v>Confirmado</x:v>
      </x:c>
      <x:c r="K16" s="227" t="str">
        <x:f t="shared" si="1"/>
        <x:v>https://www.sigmaelectronica.net/producto/tarjeta-l298/</x:v>
      </x:c>
      <x:c r="L16" s="227" t="str">
        <x:f t="shared" si="0"/>
        <x:v>https://www.st.com/resource/en/datasheet/l298.pdf</x:v>
      </x:c>
      <x:c r="M16" s="225" t="str">
        <x:v>Esencial</x:v>
      </x:c>
      <x:c r="N16" s="291" t="str">
        <x:v>Se mantiene por simplicidad y disponibilidad; no es la opción más eficiente.</x:v>
      </x:c>
      <x:c r="O16" s="17"/>
      <x:c r="P16" s="1"/>
      <x:c r="Q16" s="1"/>
    </x:row>
    <x:row r="17" s="26" customFormat="1" ht="54" customHeight="1">
      <x:c r="A17" s="225" t="n">
        <x:v>11</x:v>
      </x:c>
      <x:c r="B17" s="225" t="str">
        <x:v>Alimentación</x:v>
      </x:c>
      <x:c r="C17" s="232" t="str">
        <x:v>Fuente conmutada</x:v>
      </x:c>
      <x:c r="D17" s="232" t="str">
        <x:v>Mean Well LRS-50-12</x:v>
      </x:c>
      <x:c r="E17" s="252" t="n">
        <x:v>1</x:v>
      </x:c>
      <x:c r="F17" s="232" t="str">
        <x:v>12 VDC, 4.2 A, 50 W</x:v>
      </x:c>
      <x:c r="G17" s="236" t="str">
        <x:v>Sigma Electrónica</x:v>
      </x:c>
      <x:c r="H17" s="269" t="n">
        <x:v>67949</x:v>
      </x:c>
      <x:c r="I17" s="267" t="n">
        <x:f>IF(OR(E17="",H17=""),"",E17*H17)</x:f>
        <x:v>67949</x:v>
      </x:c>
      <x:c r="J17" s="224" t="str">
        <x:v>Confirmado</x:v>
      </x:c>
      <x:c r="K17" s="227" t="str">
        <x:f t="shared" si="1"/>
        <x:v>https://www.sigmaelectronica.net/producto/lrs-50-12/</x:v>
      </x:c>
      <x:c r="L17" s="227" t="str">
        <x:f t="shared" si="0"/>
        <x:v>https://www.sigmaelectronica.net/wp-content/uploads/2017/06/LRS-50-12.pdf</x:v>
      </x:c>
      <x:c r="M17" s="225" t="str">
        <x:v>Esencial</x:v>
      </x:c>
      <x:c r="N17" s="291" t="str">
        <x:v>Fuente con referencia y datasheet claros para documentar la entrega.</x:v>
      </x:c>
      <x:c r="O17" s="8"/>
      <x:c r="P17" s="1"/>
      <x:c r="Q17" s="1"/>
    </x:row>
    <x:row r="18" ht="54" customHeight="1">
      <x:c r="A18" s="225" t="n">
        <x:v>12</x:v>
      </x:c>
      <x:c r="B18" s="225" t="str">
        <x:v>Alimentación</x:v>
      </x:c>
      <x:c r="C18" s="224" t="str">
        <x:v>Convertidor DC-DC step-down</x:v>
      </x:c>
      <x:c r="D18" s="224" t="str">
        <x:v>Módulo LM2596</x:v>
      </x:c>
      <x:c r="E18" s="225" t="n">
        <x:v>1</x:v>
      </x:c>
      <x:c r="F18" s="234" t="str">
        <x:v>12 V → 5 V ajustable para ESP32/LCD y lógica auxiliar</x:v>
      </x:c>
      <x:c r="G18" s="231" t="str">
        <x:v>Sigma Electrónica</x:v>
      </x:c>
      <x:c r="H18" s="268" t="n">
        <x:v>4760</x:v>
      </x:c>
      <x:c r="I18" s="267" t="n">
        <x:f>IF(OR(E18="",H18=""),"",E18*H18)</x:f>
        <x:v>4760</x:v>
      </x:c>
      <x:c r="J18" s="224" t="str">
        <x:v>Confirmado</x:v>
      </x:c>
      <x:c r="K18" s="227" t="str">
        <x:f t="shared" si="1"/>
        <x:v>https://www.sigmaelectronica.net/producto/tarjeta-lm2596/</x:v>
      </x:c>
      <x:c r="L18" s="227" t="str">
        <x:f t="shared" si="0"/>
        <x:v>https://www.ti.com/lit/ds/symlink/lm2596.pdf</x:v>
      </x:c>
      <x:c r="M18" s="225" t="str">
        <x:v>Esencial</x:v>
      </x:c>
      <x:c r="N18" s="291" t="str">
        <x:v>Ajustar y medir 5.0 V antes de conectar la electrónica.</x:v>
      </x:c>
      <x:c r="O18" s="17"/>
      <x:c r="P18" s="1"/>
      <x:c r="Q18" s="1"/>
    </x:row>
    <x:row r="19" ht="54" customHeight="1">
      <x:c r="A19" s="225" t="n">
        <x:v>13</x:v>
      </x:c>
      <x:c r="B19" s="225" t="str">
        <x:v>Interfaz</x:v>
      </x:c>
      <x:c r="C19" s="224" t="str">
        <x:v>Pulsador momentáneo 6×6 mm</x:v>
      </x:c>
      <x:c r="D19" s="224" t="str">
        <x:v>SW-043C</x:v>
      </x:c>
      <x:c r="E19" s="225" t="n">
        <x:v>3</x:v>
      </x:c>
      <x:c r="F19" s="234" t="str">
        <x:v>Perfil / iniciar-confirmar / cancelar-detener</x:v>
      </x:c>
      <x:c r="G19" s="231" t="str">
        <x:v>Didácticas Electrónicas</x:v>
      </x:c>
      <x:c r="H19" s="268" t="n">
        <x:v>196.35</x:v>
      </x:c>
      <x:c r="I19" s="267" t="n">
        <x:f>IF(OR(E19="",H19=""),"",E19*H19)</x:f>
        <x:v>589.05</x:v>
      </x:c>
      <x:c r="J19" s="224" t="str">
        <x:v>Confirmado</x:v>
      </x:c>
      <x:c r="K19" s="227" t="str">
        <x:f t="shared" si="1"/>
        <x:v>https://www.didacticaselectronicas.com/shop/sw-043c-pulsador-6x6-4-pines-2mm-20102</x:v>
      </x:c>
      <x:c r="L19" s="227" t="str">
        <x:f t="shared" si="0"/>
      </x:c>
      <x:c r="M19" s="225" t="str">
        <x:v>Esencial</x:v>
      </x:c>
      <x:c r="N19" s="291" t="str">
        <x:v>Usar INPUT_PULLUP del ESP32 para evitar resistencias externas adicionales.</x:v>
      </x:c>
      <x:c r="O19" s="17"/>
      <x:c r="P19" s="1"/>
      <x:c r="Q19" s="1"/>
    </x:row>
    <x:row r="20" ht="54" customHeight="1">
      <x:c r="A20" s="225" t="n">
        <x:v>14</x:v>
      </x:c>
      <x:c r="B20" s="225" t="str">
        <x:v>Seguridad AC</x:v>
      </x:c>
      <x:c r="C20" s="224" t="str">
        <x:v>Portafusible de chasis 5×20 mm</x:v>
      </x:c>
      <x:c r="D20" s="224" t="str">
        <x:v>CON-179</x:v>
      </x:c>
      <x:c r="E20" s="225" t="n">
        <x:v>1</x:v>
      </x:c>
      <x:c r="F20" s="234" t="str">
        <x:v>250 VAC, montaje de panel</x:v>
      </x:c>
      <x:c r="G20" s="231" t="str">
        <x:v>Didácticas Electrónicas</x:v>
      </x:c>
      <x:c r="H20" s="268" t="n">
        <x:v>2023</x:v>
      </x:c>
      <x:c r="I20" s="267" t="n">
        <x:f>IF(OR(E20="",H20=""),"",E20*H20)</x:f>
        <x:v>2023</x:v>
      </x:c>
      <x:c r="J20" s="224" t="str">
        <x:v>Confirmado</x:v>
      </x:c>
      <x:c r="K20" s="227" t="str">
        <x:f t="shared" si="1"/>
        <x:v>https://www.didacticaselectronicas.com/shop/con-179-portafusible-plastico-5x20mm-corto-7852</x:v>
      </x:c>
      <x:c r="L20" s="227" t="str">
        <x:f t="shared" si="0"/>
      </x:c>
      <x:c r="M20" s="225" t="str">
        <x:v>Esencial</x:v>
      </x:c>
      <x:c r="N20" s="291" t="str">
        <x:v>Ubicar en la entrada de red, antes de las ramas de potencia.</x:v>
      </x:c>
      <x:c r="O20" s="20"/>
      <x:c r="P20" s="1"/>
      <x:c r="Q20" s="1"/>
    </x:row>
    <x:row r="21" ht="54" customHeight="1">
      <x:c r="A21" s="225" t="n">
        <x:v>15</x:v>
      </x:c>
      <x:c r="B21" s="225" t="str">
        <x:v>Seguridad AC</x:v>
      </x:c>
      <x:c r="C21" s="224" t="str">
        <x:v>Fusible de vidrio 5×20 mm</x:v>
      </x:c>
      <x:c r="D21" s="224" t="str">
        <x:v>FC-5A, 5 A / 250 V</x:v>
      </x:c>
      <x:c r="E21" s="225" t="n">
        <x:v>1</x:v>
      </x:c>
      <x:c r="F21" s="224" t="str">
        <x:v>Protección inicial de la entrada AC</x:v>
      </x:c>
      <x:c r="G21" s="225" t="str">
        <x:v>Didácticas Electrónicas</x:v>
      </x:c>
      <x:c r="H21" s="267" t="n">
        <x:v>216.58</x:v>
      </x:c>
      <x:c r="I21" s="267" t="n">
        <x:f>IF(OR(E21="",H21=""),"",E21*H21)</x:f>
        <x:v>216.58</x:v>
      </x:c>
      <x:c r="J21" s="224" t="str">
        <x:v>Confirmado</x:v>
      </x:c>
      <x:c r="K21" s="227" t="str">
        <x:v>https://www.didacticaselectronicas.com/shop/fc-5a-fusible-corto-de-vidrio-5a-250v-13803</x:v>
      </x:c>
      <x:c r="L21" s="227" t="str">
        <x:f t="shared" si="0"/>
      </x:c>
      <x:c r="M21" s="225" t="str">
        <x:v>Esencial</x:v>
      </x:c>
      <x:c r="N21" s="291" t="str">
        <x:v>Valor inicial; verificar corriente real del prototipo antes de la entrega final.</x:v>
      </x:c>
      <x:c r="O21" s="17"/>
      <x:c r="P21" s="1"/>
      <x:c r="Q21" s="1"/>
    </x:row>
    <x:row r="22" ht="54" customHeight="1">
      <x:c r="A22" s="225" t="n">
        <x:v>16</x:v>
      </x:c>
      <x:c r="B22" s="225" t="str">
        <x:v>Mecánica / térmica</x:v>
      </x:c>
      <x:c r="C22" s="224" t="str">
        <x:v>Disipador o placa de aluminio para SSR</x:v>
      </x:c>
      <x:c r="D22" s="224" t="str">
        <x:v>Compatible con SSR-40DA</x:v>
      </x:c>
      <x:c r="E22" s="225" t="n">
        <x:v>1</x:v>
      </x:c>
      <x:c r="F22" s="234" t="str">
        <x:v>Aluminio con pasta térmica; dimensionado para montaje seguro</x:v>
      </x:c>
      <x:c r="G22" s="231" t="str">
        <x:v>Taller/ferretería local</x:v>
      </x:c>
      <x:c r="H22" s="268"/>
      <x:c r="I22" s="267" t="str">
        <x:f>IF(OR(E22="",H22=""),"",E22*H22)</x:f>
      </x:c>
      <x:c r="J22" s="224" t="str">
        <x:v>Por cotizar</x:v>
      </x:c>
      <x:c r="K22" s="227" t="str"/>
      <x:c r="L22" s="227" t="str">
        <x:f t="shared" si="0"/>
      </x:c>
      <x:c r="M22" s="225" t="str">
        <x:v>Esencial</x:v>
      </x:c>
      <x:c r="N22" s="291" t="str">
        <x:v>No operar el SSR de potencia sin una solución térmica adecuada.</x:v>
      </x:c>
      <x:c r="O22" s="17"/>
      <x:c r="P22" s="1"/>
      <x:c r="Q22" s="1"/>
    </x:row>
    <x:row r="23" ht="54" customHeight="1">
      <x:c r="A23" s="225" t="n">
        <x:v>17</x:v>
      </x:c>
      <x:c r="B23" s="225" t="str">
        <x:v>Mecánica</x:v>
      </x:c>
      <x:c r="C23" s="224" t="str">
        <x:v>Recipiente metálico para tostado</x:v>
      </x:c>
      <x:c r="D23" s="224" t="str">
        <x:v>Acero inoxidable, pequeño</x:v>
      </x:c>
      <x:c r="E23" s="225" t="n">
        <x:v>1</x:v>
      </x:c>
      <x:c r="F23" s="224" t="str">
        <x:v>Apropiado para ~100 g de café y temperatura &gt;230 °C</x:v>
      </x:c>
      <x:c r="G23" s="225" t="str">
        <x:v>Ferretería / menaje local</x:v>
      </x:c>
      <x:c r="H23" s="268"/>
      <x:c r="I23" s="267" t="str">
        <x:f>IF(OR(E23="",H23=""),"",E23*H23)</x:f>
      </x:c>
      <x:c r="J23" s="224" t="str">
        <x:v>Por cotizar</x:v>
      </x:c>
      <x:c r="K23" s="227" t="str">
        <x:f t="shared" ref="K23:K33" si="2">B23*I23</x:f>
      </x:c>
      <x:c r="L23" s="227" t="str">
        <x:f t="shared" si="0"/>
      </x:c>
      <x:c r="M23" s="225" t="str">
        <x:v>Esencial</x:v>
      </x:c>
      <x:c r="N23" s="291" t="str">
        <x:v>Evitar plásticos y recubrimientos no aptos para alta temperatura.</x:v>
      </x:c>
      <x:c r="O23" s="16"/>
      <x:c r="P23" s="1"/>
      <x:c r="Q23" s="1"/>
    </x:row>
    <x:row r="24" ht="54" customHeight="1">
      <x:c r="A24" s="225" t="n">
        <x:v>18</x:v>
      </x:c>
      <x:c r="B24" s="225" t="str">
        <x:v>Mecánica / térmica</x:v>
      </x:c>
      <x:c r="C24" s="224" t="str">
        <x:v>Bloque o placa difusora de calor</x:v>
      </x:c>
      <x:c r="D24" s="224" t="str">
        <x:v>Aluminio mecanizado para 2 cartuchos</x:v>
      </x:c>
      <x:c r="E24" s="225" t="n">
        <x:v>1</x:v>
      </x:c>
      <x:c r="F24" s="224" t="str">
        <x:v>Aloja 2 cartuchos de 9 mm y distribuye el calor al recipiente</x:v>
      </x:c>
      <x:c r="G24" s="225" t="str">
        <x:v>Taller local</x:v>
      </x:c>
      <x:c r="H24" s="268"/>
      <x:c r="I24" s="267" t="str">
        <x:f>IF(OR(E24="",H24=""),"",E24*H24)</x:f>
      </x:c>
      <x:c r="J24" s="224" t="str">
        <x:v>Por cotizar</x:v>
      </x:c>
      <x:c r="K24" s="227" t="str">
        <x:f t="shared" ref="K24:K30" si="3">B24*I24</x:f>
      </x:c>
      <x:c r="L24" s="227" t="str">
        <x:f t="shared" si="0"/>
      </x:c>
      <x:c r="M24" s="225" t="str">
        <x:v>Esencial</x:v>
      </x:c>
      <x:c r="N24" s="291" t="str">
        <x:v>Es preferible a apoyar los cartuchos directamente sobre el recipiente.</x:v>
      </x:c>
      <x:c r="O24" s="17"/>
      <x:c r="P24" s="1"/>
      <x:c r="Q24" s="1"/>
    </x:row>
    <x:row r="25" ht="54" customHeight="1">
      <x:c r="A25" s="225" t="n">
        <x:v>19</x:v>
      </x:c>
      <x:c r="B25" s="225" t="str">
        <x:v>Mecánica</x:v>
      </x:c>
      <x:c r="C25" s="224" t="str">
        <x:v>Eje + paleta agitadora</x:v>
      </x:c>
      <x:c r="D25" s="224" t="str">
        <x:v>Acero inoxidable</x:v>
      </x:c>
      <x:c r="E25" s="225" t="n">
        <x:v>1</x:v>
      </x:c>
      <x:c r="F25" s="224" t="str">
        <x:v>Paleta simple de baja velocidad para mover ~100 g de grano</x:v>
      </x:c>
      <x:c r="G25" s="225" t="str">
        <x:v>Taller local</x:v>
      </x:c>
      <x:c r="H25" s="268"/>
      <x:c r="I25" s="267" t="str">
        <x:f>IF(OR(E25="",H25=""),"",E25*H25)</x:f>
      </x:c>
      <x:c r="J25" s="224" t="str">
        <x:v>Por cotizar</x:v>
      </x:c>
      <x:c r="K25" s="227" t="str">
        <x:f t="shared" si="3"/>
      </x:c>
      <x:c r="L25" s="227" t="str">
        <x:f t="shared" si="0"/>
      </x:c>
      <x:c r="M25" s="225" t="str">
        <x:v>Esencial</x:v>
      </x:c>
      <x:c r="N25" s="291" t="str">
        <x:v>Debe evitar contacto con cableado y paredes del recipiente.</x:v>
      </x:c>
      <x:c r="O25" s="16"/>
      <x:c r="P25" s="1"/>
      <x:c r="Q25" s="1"/>
    </x:row>
    <x:row r="26" ht="54" customHeight="1">
      <x:c r="A26" s="225" t="n">
        <x:v>20</x:v>
      </x:c>
      <x:c r="B26" s="225" t="str">
        <x:v>Mecánica</x:v>
      </x:c>
      <x:c r="C26" s="224" t="str">
        <x:v>Acople motor–eje</x:v>
      </x:c>
      <x:c r="D26" s="232" t="str">
        <x:v>Compatible JGY370 ↔ eje agitador</x:v>
      </x:c>
      <x:c r="E26" s="252" t="n">
        <x:v>1</x:v>
      </x:c>
      <x:c r="F26" s="224" t="str">
        <x:v>Acople rígido o flexible según diámetros finales</x:v>
      </x:c>
      <x:c r="G26" s="236" t="str">
        <x:v>Tienda mecánica / robótica</x:v>
      </x:c>
      <x:c r="H26" s="268"/>
      <x:c r="I26" s="267" t="str">
        <x:f>IF(OR(E26="",H26=""),"",E26*H26)</x:f>
      </x:c>
      <x:c r="J26" s="224" t="str">
        <x:v>Por cotizar</x:v>
      </x:c>
      <x:c r="K26" s="227" t="str">
        <x:f t="shared" si="3"/>
      </x:c>
      <x:c r="L26" s="227" t="str">
        <x:f t="shared" si="0"/>
      </x:c>
      <x:c r="M26" s="225" t="str">
        <x:v>Esencial</x:v>
      </x:c>
      <x:c r="N26" s="291" t="str">
        <x:v>Definir después de medir ambos ejes físicos.</x:v>
      </x:c>
      <x:c r="O26" s="10"/>
      <x:c r="P26" s="1"/>
      <x:c r="Q26" s="1"/>
    </x:row>
    <x:row r="27" ht="54" customHeight="1">
      <x:c r="A27" s="293" t="n">
        <x:v>21</x:v>
      </x:c>
      <x:c r="B27" s="293" t="str">
        <x:v>Montaje / seguridad</x:v>
      </x:c>
      <x:c r="C27" s="294" t="str">
        <x:v>Cableado, terminales y caja de control</x:v>
      </x:c>
      <x:c r="D27" s="294" t="str">
        <x:v>Cable alta temperatura + caja aislante</x:v>
      </x:c>
      <x:c r="E27" s="293" t="n">
        <x:v>1</x:v>
      </x:c>
      <x:c r="F27" s="294" t="str">
        <x:v>Separar físicamente red AC y baja tensión; incluir terminales aislados</x:v>
      </x:c>
      <x:c r="G27" s="295" t="str">
        <x:v>Ferretería / electrónica local</x:v>
      </x:c>
      <x:c r="H27" s="296"/>
      <x:c r="I27" s="297" t="str">
        <x:f>IF(OR(E27="",H27=""),"",E27*H27)</x:f>
      </x:c>
      <x:c r="J27" s="294" t="str">
        <x:v>Por cotizar</x:v>
      </x:c>
      <x:c r="K27" s="298" t="str">
        <x:f t="shared" si="3"/>
      </x:c>
      <x:c r="L27" s="298" t="str">
        <x:f t="shared" si="0"/>
      </x:c>
      <x:c r="M27" s="293" t="str">
        <x:v>Esencial</x:v>
      </x:c>
      <x:c r="N27" s="299" t="str">
        <x:v>No dejar 110 VAC accesible durante pruebas o demostración.</x:v>
      </x:c>
      <x:c r="O27" s="17"/>
      <x:c r="P27" s="1"/>
      <x:c r="Q27" s="1"/>
    </x:row>
    <x:row r="28">
      <x:c r="A28" s="1"/>
      <x:c r="B28" s="2"/>
      <x:c r="C28" s="1"/>
      <x:c r="D28" s="1"/>
      <x:c r="E28" s="11"/>
      <x:c r="F28" s="1"/>
      <x:c r="G28" s="2"/>
      <x:c r="H28" s="16"/>
      <x:c r="I28" s="1"/>
      <x:c r="J28" s="1"/>
      <x:c r="K28" s="7">
        <x:f t="shared" si="3"/>
      </x:c>
      <x:c r="L28" s="7">
        <x:f t="shared" si="0"/>
      </x:c>
      <x:c r="M28" s="2"/>
      <x:c r="N28" s="2"/>
      <x:c r="O28" s="17"/>
      <x:c r="P28" s="1"/>
      <x:c r="Q28" s="1"/>
    </x:row>
    <x:row r="29">
      <x:c r="A29" s="1"/>
      <x:c r="B29" s="2"/>
      <x:c r="C29" s="1"/>
      <x:c r="D29" s="1"/>
      <x:c r="E29" s="11"/>
      <x:c r="F29" s="1"/>
      <x:c r="G29" s="2"/>
      <x:c r="H29" s="19"/>
      <x:c r="I29" s="1"/>
      <x:c r="J29" s="1"/>
      <x:c r="K29" s="7">
        <x:f t="shared" si="3"/>
      </x:c>
      <x:c r="L29" s="7">
        <x:f t="shared" si="0"/>
      </x:c>
      <x:c r="M29" s="2"/>
      <x:c r="N29" s="2"/>
      <x:c r="O29" s="16"/>
      <x:c r="P29" s="1"/>
      <x:c r="Q29" s="1"/>
    </x:row>
    <x:row r="30">
      <x:c r="A30" s="278" t="str">
        <x:v>Resumen de costos</x:v>
      </x:c>
      <x:c r="B30" s="278"/>
      <x:c r="C30" s="278"/>
      <x:c r="D30" s="278"/>
      <x:c r="E30" s="11"/>
      <x:c r="F30" s="1"/>
      <x:c r="G30" s="2"/>
      <x:c r="H30" s="16"/>
      <x:c r="I30" s="1"/>
      <x:c r="J30" s="1"/>
      <x:c r="K30" s="7">
        <x:f t="shared" si="3"/>
      </x:c>
      <x:c r="L30" s="7">
        <x:f t="shared" si="0"/>
      </x:c>
      <x:c r="M30" s="2"/>
      <x:c r="N30" s="2"/>
      <x:c r="O30" s="17"/>
      <x:c r="P30" s="1"/>
      <x:c r="Q30" s="1"/>
    </x:row>
    <x:row r="31" ht="24" customHeight="1">
      <x:c r="A31" s="362" t="str">
        <x:v>Costo confirmado (COP)</x:v>
      </x:c>
      <x:c r="B31" s="363"/>
      <x:c r="C31" s="364" t="n">
        <x:f>SUMIF(J7:J27,"Confirmado",I7:I27)</x:f>
        <x:v>289324.52</x:v>
      </x:c>
      <x:c r="D31" s="1"/>
      <x:c r="E31" s="11"/>
      <x:c r="F31" s="1"/>
      <x:c r="G31" s="2"/>
      <x:c r="H31" s="16"/>
      <x:c r="I31" s="1"/>
      <x:c r="J31" s="1"/>
      <x:c r="K31" s="7">
        <x:f t="shared" si="2"/>
      </x:c>
      <x:c r="L31" s="7">
        <x:f t="shared" si="0"/>
      </x:c>
      <x:c r="M31" s="2"/>
      <x:c r="N31" s="2"/>
      <x:c r="O31" s="17"/>
      <x:c r="P31" s="1"/>
      <x:c r="Q31" s="1"/>
    </x:row>
    <x:row r="32" ht="24" customHeight="1">
      <x:c r="A32" s="362" t="str">
        <x:v>Componentes por cotizar</x:v>
      </x:c>
      <x:c r="B32" s="363"/>
      <x:c r="C32" s="365" t="n">
        <x:f>COUNTIF(J7:J27,"Por cotizar")</x:f>
        <x:v>6</x:v>
      </x:c>
      <x:c r="D32" s="1"/>
      <x:c r="E32" s="11"/>
      <x:c r="F32" s="1"/>
      <x:c r="G32" s="2"/>
      <x:c r="H32" s="16"/>
      <x:c r="I32" s="1"/>
      <x:c r="J32" s="1"/>
      <x:c r="K32" s="7">
        <x:f t="shared" si="2"/>
      </x:c>
      <x:c r="L32" s="7">
        <x:f t="shared" si="0"/>
      </x:c>
      <x:c r="M32" s="2"/>
      <x:c r="N32" s="2"/>
      <x:c r="O32" s="17"/>
      <x:c r="P32" s="1"/>
      <x:c r="Q32" s="1"/>
    </x:row>
    <x:row r="33" ht="24" customHeight="1">
      <x:c r="A33" s="362" t="str">
        <x:v>Potencia térmica instalada</x:v>
      </x:c>
      <x:c r="B33" s="363"/>
      <x:c r="C33" s="365" t="str">
        <x:v>360 W (2 × 180 W)</x:v>
      </x:c>
      <x:c r="D33" s="1"/>
      <x:c r="E33" s="11"/>
      <x:c r="F33" s="1"/>
      <x:c r="G33" s="2"/>
      <x:c r="H33" s="16"/>
      <x:c r="I33" s="1"/>
      <x:c r="J33" s="1"/>
      <x:c r="K33" s="7">
        <x:f t="shared" si="2"/>
      </x:c>
      <x:c r="L33" s="7">
        <x:f t="shared" si="0"/>
      </x:c>
      <x:c r="M33" s="2"/>
      <x:c r="N33" s="2"/>
      <x:c r="O33" s="17"/>
      <x:c r="P33" s="1"/>
      <x:c r="Q33" s="1"/>
    </x:row>
    <x:row r="34" ht="24" customHeight="1">
      <x:c r="A34" s="362" t="str">
        <x:v>Capacidad objetivo</x:v>
      </x:c>
      <x:c r="B34" s="363"/>
      <x:c r="C34" s="365" t="str">
        <x:v>~100 g/ciclo</x:v>
      </x:c>
      <x:c r="D34" s="1"/>
      <x:c r="E34" s="1"/>
      <x:c r="F34" s="6"/>
      <x:c r="G34" s="9"/>
      <x:c r="H34" s="6"/>
      <x:c r="I34" s="1"/>
      <x:c r="J34" s="1"/>
      <x:c r="K34" s="7">
        <x:f t="shared" ref="K34" si="4">B34*I34</x:f>
      </x:c>
      <x:c r="L34" s="7">
        <x:f t="shared" si="0"/>
      </x:c>
      <x:c r="M34" s="2"/>
      <x:c r="N34" s="2"/>
      <x:c r="O34" s="8"/>
      <x:c r="P34" s="1"/>
      <x:c r="Q34" s="1"/>
    </x:row>
    <x:row r="35">
      <x:c r="A35" s="1"/>
      <x:c r="B35" s="2"/>
      <x:c r="C35" s="1"/>
      <x:c r="D35" s="1"/>
      <x:c r="E35" s="1"/>
      <x:c r="F35" s="11"/>
      <x:c r="G35" s="12"/>
      <x:c r="H35" s="1"/>
      <x:c r="I35" s="1"/>
      <x:c r="J35" s="1"/>
      <x:c r="K35" s="7"/>
      <x:c r="L35" s="7">
        <x:f t="shared" si="0"/>
      </x:c>
      <x:c r="M35" s="2"/>
      <x:c r="N35" s="2"/>
      <x:c r="O35" s="1"/>
      <x:c r="P35" s="1"/>
      <x:c r="Q35" s="1"/>
    </x:row>
    <x:row r="36">
      <x:c r="A36" s="1"/>
      <x:c r="B36" s="2"/>
      <x:c r="C36" s="1"/>
      <x:c r="D36" s="1"/>
      <x:c r="E36" s="1"/>
      <x:c r="F36" s="1"/>
      <x:c r="G36" s="18"/>
      <x:c r="H36" s="19"/>
      <x:c r="I36" s="1"/>
      <x:c r="J36" s="1"/>
      <x:c r="K36" s="7"/>
      <x:c r="L36" s="7">
        <x:f t="shared" si="0"/>
      </x:c>
      <x:c r="M36" s="2"/>
      <x:c r="N36" s="2"/>
      <x:c r="O36" s="10"/>
      <x:c r="P36" s="1"/>
      <x:c r="Q36" s="1"/>
    </x:row>
    <x:row r="37">
      <x:c r="A37" s="1"/>
      <x:c r="B37" s="2"/>
      <x:c r="C37" s="1"/>
      <x:c r="D37" s="1"/>
      <x:c r="E37" s="1"/>
      <x:c r="F37" s="16"/>
      <x:c r="G37" s="18"/>
      <x:c r="H37" s="16"/>
      <x:c r="I37" s="1"/>
      <x:c r="J37" s="1"/>
      <x:c r="K37" s="7">
        <x:f t="shared" ref="K37:K44" si="5">B37*I37</x:f>
      </x:c>
      <x:c r="L37" s="7">
        <x:f t="shared" si="0"/>
      </x:c>
      <x:c r="M37" s="2"/>
      <x:c r="N37" s="2"/>
      <x:c r="O37" s="17"/>
      <x:c r="P37" s="1"/>
      <x:c r="Q37" s="1"/>
    </x:row>
    <x:row r="38">
      <x:c r="A38" s="1"/>
      <x:c r="B38" s="2"/>
      <x:c r="C38" s="1"/>
      <x:c r="D38" s="1"/>
      <x:c r="E38" s="11"/>
      <x:c r="F38" s="11"/>
      <x:c r="G38" s="21"/>
      <x:c r="H38" s="22"/>
      <x:c r="I38" s="11"/>
      <x:c r="J38" s="11"/>
      <x:c r="K38" s="7">
        <x:f t="shared" si="5"/>
      </x:c>
      <x:c r="L38" s="7">
        <x:f t="shared" si="0"/>
      </x:c>
      <x:c r="M38" s="12"/>
      <x:c r="N38" s="12"/>
      <x:c r="O38" s="23"/>
      <x:c r="P38" s="1"/>
      <x:c r="Q38" s="1"/>
    </x:row>
    <x:row r="39">
      <x:c r="A39" s="1"/>
      <x:c r="B39" s="2"/>
      <x:c r="C39" s="1"/>
      <x:c r="D39" s="1"/>
      <x:c r="E39" s="1"/>
      <x:c r="F39" s="1"/>
      <x:c r="G39" s="18"/>
      <x:c r="H39" s="16"/>
      <x:c r="I39" s="1"/>
      <x:c r="J39" s="1"/>
      <x:c r="K39" s="7">
        <x:f t="shared" si="5"/>
      </x:c>
      <x:c r="L39" s="7">
        <x:f t="shared" si="0"/>
      </x:c>
      <x:c r="M39" s="2"/>
      <x:c r="N39" s="2"/>
      <x:c r="O39" s="17"/>
      <x:c r="P39" s="1"/>
      <x:c r="Q39" s="1"/>
    </x:row>
    <x:row r="40">
      <x:c r="A40" s="1"/>
      <x:c r="B40" s="2"/>
      <x:c r="C40" s="1"/>
      <x:c r="D40" s="1"/>
      <x:c r="E40" s="1"/>
      <x:c r="F40" s="1"/>
      <x:c r="G40" s="9"/>
      <x:c r="H40" s="6"/>
      <x:c r="I40" s="1"/>
      <x:c r="J40" s="1"/>
      <x:c r="K40" s="7">
        <x:f t="shared" si="5"/>
      </x:c>
      <x:c r="L40" s="7">
        <x:f t="shared" si="0"/>
      </x:c>
      <x:c r="M40" s="2"/>
      <x:c r="N40" s="2"/>
      <x:c r="O40" s="10"/>
      <x:c r="P40" s="1"/>
      <x:c r="Q40" s="1"/>
    </x:row>
    <x:row r="41" ht="15.75">
      <x:c r="A41" s="1"/>
      <x:c r="B41" s="2"/>
      <x:c r="C41" s="1"/>
      <x:c r="D41" s="1"/>
      <x:c r="E41" s="1"/>
      <x:c r="F41" s="24"/>
      <x:c r="G41" s="18"/>
      <x:c r="H41" s="24"/>
      <x:c r="I41" s="1"/>
      <x:c r="J41" s="1"/>
      <x:c r="K41" s="7">
        <x:f t="shared" si="5"/>
      </x:c>
      <x:c r="L41" s="7">
        <x:f t="shared" si="0"/>
      </x:c>
      <x:c r="M41" s="2"/>
      <x:c r="N41" s="2"/>
      <x:c r="O41" s="20"/>
      <x:c r="P41" s="1"/>
      <x:c r="Q41" s="1"/>
    </x:row>
    <x:row r="42">
      <x:c r="A42" s="1"/>
      <x:c r="B42" s="2"/>
      <x:c r="C42" s="1"/>
      <x:c r="D42" s="1"/>
      <x:c r="E42" s="1"/>
      <x:c r="F42" s="6"/>
      <x:c r="G42" s="2"/>
      <x:c r="H42" s="6"/>
      <x:c r="I42" s="1"/>
      <x:c r="J42" s="1"/>
      <x:c r="K42" s="7">
        <x:f t="shared" si="5"/>
      </x:c>
      <x:c r="L42" s="7">
        <x:f t="shared" si="0"/>
      </x:c>
      <x:c r="M42" s="2"/>
      <x:c r="N42" s="2"/>
      <x:c r="O42" s="8"/>
      <x:c r="P42" s="1"/>
      <x:c r="Q42" s="1"/>
    </x:row>
    <x:row r="43">
      <x:c r="A43" s="1"/>
      <x:c r="B43" s="2"/>
      <x:c r="C43" s="1"/>
      <x:c r="D43" s="1"/>
      <x:c r="E43" s="1"/>
      <x:c r="F43" s="6"/>
      <x:c r="G43" s="2"/>
      <x:c r="H43" s="6"/>
      <x:c r="I43" s="1"/>
      <x:c r="J43" s="1"/>
      <x:c r="K43" s="7">
        <x:f t="shared" si="5"/>
      </x:c>
      <x:c r="L43" s="7">
        <x:f t="shared" si="0"/>
      </x:c>
      <x:c r="M43" s="2"/>
      <x:c r="N43" s="2"/>
      <x:c r="O43" s="10"/>
      <x:c r="P43" s="1"/>
      <x:c r="Q43" s="1"/>
    </x:row>
    <x:row r="44">
      <x:c r="A44" s="1"/>
      <x:c r="B44" s="12"/>
      <x:c r="C44" s="11"/>
      <x:c r="D44" s="1"/>
      <x:c r="E44" s="1"/>
      <x:c r="F44" s="1"/>
      <x:c r="G44" s="2"/>
      <x:c r="H44" s="1"/>
      <x:c r="I44" s="11"/>
      <x:c r="J44" s="11"/>
      <x:c r="K44" s="7">
        <x:f t="shared" si="5"/>
      </x:c>
      <x:c r="L44" s="7">
        <x:f t="shared" si="0"/>
      </x:c>
      <x:c r="M44" s="1"/>
      <x:c r="N44" s="1"/>
      <x:c r="O44" s="1"/>
      <x:c r="P44" s="1"/>
      <x:c r="Q44" s="1"/>
    </x:row>
    <x:row r="45">
      <x:c r="A45" s="1"/>
      <x:c r="B45" s="2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8">
      <x:c r="K48"/>
      <x:c r="L48"/>
    </x:row>
    <x:row r="50">
      <x:c r="A50" s="1"/>
      <x:c r="B50" s="12"/>
      <x:c r="C50" s="11"/>
      <x:c r="D50" s="1"/>
      <x:c r="E50" s="1"/>
      <x:c r="F50" s="16"/>
      <x:c r="G50" s="1"/>
      <x:c r="H50" s="1"/>
      <x:c r="I50" s="1"/>
      <x:c r="J50" s="1"/>
      <x:c r="K50" s="7">
        <x:f t="shared" ref="K50:K52" si="6">B50*I50</x:f>
      </x:c>
      <x:c r="L50" s="7"/>
      <x:c r="M50" s="2"/>
      <x:c r="N50" s="2"/>
      <x:c r="O50" s="17"/>
      <x:c r="P50" s="1"/>
      <x:c r="Q50" s="1"/>
    </x:row>
    <x:row r="51">
      <x:c r="A51" s="1"/>
      <x:c r="B51" s="12"/>
      <x:c r="C51" s="11"/>
      <x:c r="D51" s="1"/>
      <x:c r="E51" s="1"/>
      <x:c r="F51" s="11"/>
      <x:c r="G51" s="1"/>
      <x:c r="H51" s="1"/>
      <x:c r="I51" s="1"/>
      <x:c r="J51" s="1"/>
      <x:c r="K51" s="7">
        <x:f t="shared" si="6"/>
      </x:c>
      <x:c r="L51" s="1"/>
      <x:c r="M51" s="1"/>
      <x:c r="N51" s="1"/>
      <x:c r="O51" s="1"/>
      <x:c r="P51" s="1"/>
      <x:c r="Q51" s="1"/>
    </x:row>
    <x:row r="52">
      <x:c r="A52" s="1"/>
      <x:c r="B52" s="12"/>
      <x:c r="C52" s="11"/>
      <x:c r="D52" s="1"/>
      <x:c r="E52" s="1"/>
      <x:c r="F52" s="11"/>
      <x:c r="G52" s="1"/>
      <x:c r="H52" s="1"/>
      <x:c r="I52" s="1"/>
      <x:c r="J52" s="1"/>
      <x:c r="K52" s="7">
        <x:f t="shared" si="6"/>
      </x:c>
      <x:c r="L52" s="7"/>
      <x:c r="M52" s="2"/>
      <x:c r="N52" s="2"/>
      <x:c r="O52" s="1"/>
      <x:c r="P52" s="1"/>
      <x:c r="Q52" s="1"/>
    </x:row>
    <x:row r="54">
      <x:c r="K54"/>
      <x:c r="L54"/>
    </x:row>
    <x:row r="57">
      <x:c r="K57"/>
      <x:c r="L57"/>
    </x:row>
  </x:sheetData>
  <x:mergeCells>
    <x:mergeCell ref="I2:Q2"/>
    <x:mergeCell ref="A1:N1"/>
    <x:mergeCell ref="A2:N2"/>
    <x:mergeCell ref="A3:N3"/>
    <x:mergeCell ref="A30:D30"/>
    <x:mergeCell ref="A31:B31"/>
    <x:mergeCell ref="A32:B32"/>
    <x:mergeCell ref="A33:B33"/>
    <x:mergeCell ref="A34:B34"/>
  </x:mergeCells>
  <x:conditionalFormatting sqref="J7:J27">
    <x:cfRule type="expression" dxfId="0" priority="1">
      <x:formula>J7="Confirmado"</x:formula>
    </x:cfRule>
    <x:cfRule type="expression" dxfId="1" priority="2">
      <x:formula>J7="Por cotizar"</x:formula>
    </x:cfRule>
  </x:conditionalFormatting>
  <x:conditionalFormatting sqref="M7:M27">
    <x:cfRule type="expression" dxfId="2" priority="3">
      <x:formula>M7="Esencial"</x:formula>
    </x:cfRule>
    <x:cfRule type="expression" dxfId="3" priority="4">
      <x:formula>M7="Recomendado"</x:formula>
    </x:cfRule>
  </x:conditionalFormatting>
  <x:dataValidations count="1">
    <x:dataValidation type="list" sqref="J7:J27">
      <x:formula1>"Confirmado,Estimado,Por cotizar"</x:formula1>
    </x:dataValidation>
  </x:dataValidations>
  <x:hyperlinks>
    <x:hyperlink xmlns:r="http://schemas.openxmlformats.org/officeDocument/2006/relationships" ref="G4" r:id="Re09aebc471e248c2"/>
    <x:hyperlink xmlns:r="http://schemas.openxmlformats.org/officeDocument/2006/relationships" ref="O4" r:id="Rc795124767a14dac"/>
    <x:hyperlink xmlns:r="http://schemas.openxmlformats.org/officeDocument/2006/relationships" ref="G5" r:id="R42eac510c8c34877"/>
    <x:hyperlink xmlns:r="http://schemas.openxmlformats.org/officeDocument/2006/relationships" ref="O5" r:id="R05eb97efc058492f"/>
    <x:hyperlink xmlns:r="http://schemas.openxmlformats.org/officeDocument/2006/relationships" ref="G6" r:id="Rf27eae4f83684ebd"/>
    <x:hyperlink xmlns:r="http://schemas.openxmlformats.org/officeDocument/2006/relationships" ref="O6" r:id="Reb298d1eaddf4aec"/>
    <x:hyperlink xmlns:r="http://schemas.openxmlformats.org/officeDocument/2006/relationships" ref="G7" r:id="R652d847d8ffa492b"/>
    <x:hyperlink xmlns:r="http://schemas.openxmlformats.org/officeDocument/2006/relationships" ref="O7" r:id="Reb3e2cccbec448ef"/>
    <x:hyperlink xmlns:r="http://schemas.openxmlformats.org/officeDocument/2006/relationships" ref="D8" r:id="R30f1fb631974478e"/>
    <x:hyperlink xmlns:r="http://schemas.openxmlformats.org/officeDocument/2006/relationships" ref="G8" r:id="R659133f79c6d4c50"/>
    <x:hyperlink xmlns:r="http://schemas.openxmlformats.org/officeDocument/2006/relationships" ref="O8" r:id="Re3f0f2b725294699"/>
    <x:hyperlink xmlns:r="http://schemas.openxmlformats.org/officeDocument/2006/relationships" ref="D9" r:id="R6cbe682410934bcc"/>
    <x:hyperlink xmlns:r="http://schemas.openxmlformats.org/officeDocument/2006/relationships" ref="G9" r:id="Reca7e85bacdf49f7"/>
    <x:hyperlink xmlns:r="http://schemas.openxmlformats.org/officeDocument/2006/relationships" ref="O9" r:id="R68ac878968184c89"/>
    <x:hyperlink xmlns:r="http://schemas.openxmlformats.org/officeDocument/2006/relationships" ref="G10" r:id="Rc92ffe012bd542fe"/>
    <x:hyperlink xmlns:r="http://schemas.openxmlformats.org/officeDocument/2006/relationships" ref="O10" r:id="R31265ddd866a44df"/>
    <x:hyperlink xmlns:r="http://schemas.openxmlformats.org/officeDocument/2006/relationships" ref="G11" r:id="Rf4670f48e74f4a9c"/>
    <x:hyperlink xmlns:r="http://schemas.openxmlformats.org/officeDocument/2006/relationships" ref="O11" r:id="R7e8bea29412f4e58"/>
    <x:hyperlink xmlns:r="http://schemas.openxmlformats.org/officeDocument/2006/relationships" ref="O12" r:id="R7871f6b35a9d4249"/>
    <x:hyperlink xmlns:r="http://schemas.openxmlformats.org/officeDocument/2006/relationships" ref="G15" r:id="R80a0fe46243a4126"/>
    <x:hyperlink xmlns:r="http://schemas.openxmlformats.org/officeDocument/2006/relationships" ref="O15" r:id="Reb8523abb9774ccb"/>
    <x:hyperlink xmlns:r="http://schemas.openxmlformats.org/officeDocument/2006/relationships" ref="G16" r:id="R29aab079b8c34dff"/>
    <x:hyperlink xmlns:r="http://schemas.openxmlformats.org/officeDocument/2006/relationships" ref="O16" r:id="Rbe320c5447194490"/>
    <x:hyperlink xmlns:r="http://schemas.openxmlformats.org/officeDocument/2006/relationships" ref="G17" r:id="R2b5be3339c3846a0"/>
    <x:hyperlink xmlns:r="http://schemas.openxmlformats.org/officeDocument/2006/relationships" ref="O17" r:id="R30bd96b2e6634a33"/>
    <x:hyperlink xmlns:r="http://schemas.openxmlformats.org/officeDocument/2006/relationships" ref="G18" r:id="R4c761aab77b94c78"/>
    <x:hyperlink xmlns:r="http://schemas.openxmlformats.org/officeDocument/2006/relationships" ref="O18" r:id="R763834e67b7f4fcc"/>
    <x:hyperlink xmlns:r="http://schemas.openxmlformats.org/officeDocument/2006/relationships" ref="G19" r:id="Reab72d8ce35f42b2"/>
    <x:hyperlink xmlns:r="http://schemas.openxmlformats.org/officeDocument/2006/relationships" ref="O19" r:id="R9ef96f10e7f3493f"/>
    <x:hyperlink xmlns:r="http://schemas.openxmlformats.org/officeDocument/2006/relationships" ref="G20" r:id="Rdc62251873f7466c"/>
    <x:hyperlink xmlns:r="http://schemas.openxmlformats.org/officeDocument/2006/relationships" ref="O20" r:id="Re19949eef6ff46d2"/>
    <x:hyperlink xmlns:r="http://schemas.openxmlformats.org/officeDocument/2006/relationships" ref="O21" r:id="R11e1de881e984966"/>
    <x:hyperlink xmlns:r="http://schemas.openxmlformats.org/officeDocument/2006/relationships" ref="G22" r:id="Rcc118cd7e5b44490"/>
    <x:hyperlink xmlns:r="http://schemas.openxmlformats.org/officeDocument/2006/relationships" ref="O22" r:id="R911ccb09f2cf4eed"/>
    <x:hyperlink xmlns:r="http://schemas.openxmlformats.org/officeDocument/2006/relationships" ref="O24" r:id="R1e62e5117a494d79"/>
    <x:hyperlink xmlns:r="http://schemas.openxmlformats.org/officeDocument/2006/relationships" ref="G26" r:id="R206559bc04654ce0"/>
    <x:hyperlink xmlns:r="http://schemas.openxmlformats.org/officeDocument/2006/relationships" ref="O26" r:id="Raa510b5dcfd8425e"/>
    <x:hyperlink xmlns:r="http://schemas.openxmlformats.org/officeDocument/2006/relationships" ref="G27" r:id="R8f8fd5d38d474418"/>
    <x:hyperlink xmlns:r="http://schemas.openxmlformats.org/officeDocument/2006/relationships" ref="O27" r:id="R2936e7d9b4fa47ad"/>
    <x:hyperlink xmlns:r="http://schemas.openxmlformats.org/officeDocument/2006/relationships" ref="O28" r:id="Rc3fd20c543fa4b4d"/>
    <x:hyperlink xmlns:r="http://schemas.openxmlformats.org/officeDocument/2006/relationships" ref="O30" r:id="R74a9363225c04b28"/>
    <x:hyperlink xmlns:r="http://schemas.openxmlformats.org/officeDocument/2006/relationships" ref="O31" r:id="R97e9eb708b1a4a52"/>
    <x:hyperlink xmlns:r="http://schemas.openxmlformats.org/officeDocument/2006/relationships" ref="O32" r:id="Rbb5187bc1db4483e"/>
    <x:hyperlink xmlns:r="http://schemas.openxmlformats.org/officeDocument/2006/relationships" ref="O33" r:id="Raebf7474dea448c8"/>
    <x:hyperlink xmlns:r="http://schemas.openxmlformats.org/officeDocument/2006/relationships" ref="G34" r:id="Rddbb89b791f147fd"/>
    <x:hyperlink xmlns:r="http://schemas.openxmlformats.org/officeDocument/2006/relationships" ref="O34" r:id="R8766beb8443a4362"/>
    <x:hyperlink xmlns:r="http://schemas.openxmlformats.org/officeDocument/2006/relationships" ref="O36" r:id="R51ae0d57b5b446ee"/>
    <x:hyperlink xmlns:r="http://schemas.openxmlformats.org/officeDocument/2006/relationships" ref="G37" r:id="Rcef10ae844d249d1"/>
    <x:hyperlink xmlns:r="http://schemas.openxmlformats.org/officeDocument/2006/relationships" ref="O37" r:id="R44698d53f5ff4019"/>
    <x:hyperlink xmlns:r="http://schemas.openxmlformats.org/officeDocument/2006/relationships" ref="G38" r:id="R89ef00fcef354668"/>
    <x:hyperlink xmlns:r="http://schemas.openxmlformats.org/officeDocument/2006/relationships" ref="O38" r:id="R6132fd1e16614880"/>
    <x:hyperlink xmlns:r="http://schemas.openxmlformats.org/officeDocument/2006/relationships" ref="G39" r:id="Rf20da3d502694cfa"/>
    <x:hyperlink xmlns:r="http://schemas.openxmlformats.org/officeDocument/2006/relationships" ref="O39" r:id="R9a42d099fc2d4ef3"/>
    <x:hyperlink xmlns:r="http://schemas.openxmlformats.org/officeDocument/2006/relationships" ref="G40" r:id="Ra488d64da3954b91"/>
    <x:hyperlink xmlns:r="http://schemas.openxmlformats.org/officeDocument/2006/relationships" ref="O40" r:id="Rc7cf1659f4e84f54"/>
    <x:hyperlink xmlns:r="http://schemas.openxmlformats.org/officeDocument/2006/relationships" ref="O41" r:id="R11e4ec606fbe4590"/>
    <x:hyperlink xmlns:r="http://schemas.openxmlformats.org/officeDocument/2006/relationships" ref="O42" r:id="Rebb21a00c7914f9d"/>
    <x:hyperlink xmlns:r="http://schemas.openxmlformats.org/officeDocument/2006/relationships" ref="O43" r:id="Rb964bee6b3294a4c"/>
    <x:hyperlink xmlns:r="http://schemas.openxmlformats.org/officeDocument/2006/relationships" ref="O50" r:id="R1d91059f76d14f90"/>
  </x:hyperlinks>
  <x:pageMargins left="0.7" right="0.7" top="0.75" bottom="0.75" header="0.3" footer="0.3"/>
  <x:tableParts count="1">
    <x:tablePart xmlns:r="http://schemas.openxmlformats.org/officeDocument/2006/relationships" r:id="R05ad2bacc05a48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4" hidden="0" customWidth="1"/>
    <x:col min="4" max="4" width="24" hidden="0" customWidth="1"/>
    <x:col min="5" max="5" width="55" hidden="0" customWidth="1"/>
    <x:col min="6" max="6" width="45" hidden="0" customWidth="1"/>
  </x:cols>
  <x:sheetData>
    <x:row r="1" ht="28" customHeight="1">
      <x:c r="A1" s="69" t="str">
        <x:v>Datasheets y fichas técnicas — enlaces definitivos</x:v>
      </x:c>
      <x:c r="B1" s="69"/>
      <x:c r="C1" s="69"/>
      <x:c r="D1" s="69"/>
      <x:c r="E1" s="69"/>
      <x:c r="F1" s="69"/>
    </x:row>
    <x:row r="2">
      <x:c r="A2" s="314" t="str">
        <x:v>Prioridad: documento oficial del fabricante; cuando el componente es genérico se usa la ficha exacta del proveedor.</x:v>
      </x:c>
      <x:c r="B2" s="314"/>
      <x:c r="C2" s="314"/>
      <x:c r="D2" s="314"/>
      <x:c r="E2" s="314"/>
      <x:c r="F2" s="314"/>
    </x:row>
    <x:row r="4">
      <x:c r="A4" s="324" t="str">
        <x:v>Ítem</x:v>
      </x:c>
      <x:c r="B4" s="324" t="str">
        <x:v>Componente / referencia</x:v>
      </x:c>
      <x:c r="C4" s="324" t="str">
        <x:v>Tipo de documento</x:v>
      </x:c>
      <x:c r="D4" s="324" t="str">
        <x:v>Fuente</x:v>
      </x:c>
      <x:c r="E4" s="324" t="str">
        <x:v>URL</x:v>
      </x:c>
      <x:c r="F4" s="324" t="str">
        <x:v>Qué respalda</x:v>
      </x:c>
    </x:row>
    <x:row r="5" ht="48" customHeight="1">
      <x:c r="A5" s="201" t="n">
        <x:v>1</x:v>
      </x:c>
      <x:c r="B5" s="201" t="str">
        <x:v>ESP32-WROOM-32D</x:v>
      </x:c>
      <x:c r="C5" s="201" t="str">
        <x:v>Datasheet oficial</x:v>
      </x:c>
      <x:c r="D5" s="201" t="str">
        <x:v>Espressif</x:v>
      </x:c>
      <x:c r="E5" s="201" t="str">
        <x:v>https://documentation.espressif.com/esp32-wroom-32d_esp32-wroom-32u_datasheet_en.pdf</x:v>
      </x:c>
      <x:c r="F5" s="201" t="str">
        <x:v>Alimentación, GPIO, interfaces y características del módulo.</x:v>
      </x:c>
    </x:row>
    <x:row r="6" ht="48" customHeight="1">
      <x:c r="A6" s="201" t="n">
        <x:v>2</x:v>
      </x:c>
      <x:c r="B6" s="201" t="str">
        <x:v>MAX6675</x:v>
      </x:c>
      <x:c r="C6" s="201" t="str">
        <x:v>Datasheet oficial</x:v>
      </x:c>
      <x:c r="D6" s="201" t="str">
        <x:v>Analog Devices / Maxim</x:v>
      </x:c>
      <x:c r="E6" s="201" t="str">
        <x:v>https://www.analog.com/media/en/technical-documentation/data-sheets/MAX6675.pdf</x:v>
      </x:c>
      <x:c r="F6" s="201" t="str">
        <x:v>Interfaz SPI, resolución, rango y detección de termocupla abierta.</x:v>
      </x:c>
    </x:row>
    <x:row r="7" ht="48" customHeight="1">
      <x:c r="A7" s="201" t="n">
        <x:v>3</x:v>
      </x:c>
      <x:c r="B7" s="201" t="str">
        <x:v>Termocupla Tipo K del kit</x:v>
      </x:c>
      <x:c r="C7" s="201" t="str">
        <x:v>Ficha exacta del proveedor</x:v>
      </x:c>
      <x:c r="D7" s="201" t="str">
        <x:v>Didácticas Electrónicas</x:v>
      </x:c>
      <x:c r="E7" s="201" t="str">
        <x:v>https://www.didacticaselectronicas.com/shop/sen-termo-k-modulo-sensor-de-temperatura-tipo-k-3460</x:v>
      </x:c>
      <x:c r="F7" s="201" t="str">
        <x:v>Sonda incluida, rango comercial y compatibilidad con MAX6675.</x:v>
      </x:c>
    </x:row>
    <x:row r="8" ht="48" customHeight="1">
      <x:c r="A8" s="201" t="n">
        <x:v>4</x:v>
      </x:c>
      <x:c r="B8" s="201" t="str">
        <x:v>LCD1602 / HD44780</x:v>
      </x:c>
      <x:c r="C8" s="201" t="str">
        <x:v>Datasheet del controlador</x:v>
      </x:c>
      <x:c r="D8" s="201" t="str">
        <x:v>Hitachi (copia técnica)</x:v>
      </x:c>
      <x:c r="E8" s="201" t="str">
        <x:v>https://cdn.sparkfun.com/assets/9/5/f/7/b/HD44780.pdf</x:v>
      </x:c>
      <x:c r="F8" s="201" t="str">
        <x:v>Comandos y funcionamiento del LCD 16×2.</x:v>
      </x:c>
    </x:row>
    <x:row r="9" ht="48" customHeight="1">
      <x:c r="A9" s="201" t="n">
        <x:v>5</x:v>
      </x:c>
      <x:c r="B9" s="201" t="str">
        <x:v>PCF8574 / PCF8574A</x:v>
      </x:c>
      <x:c r="C9" s="201" t="str">
        <x:v>Datasheet oficial</x:v>
      </x:c>
      <x:c r="D9" s="201" t="str">
        <x:v>NXP</x:v>
      </x:c>
      <x:c r="E9" s="201" t="str">
        <x:v>https://www.nxp.com/docs/en/data-sheet/PCF8574_PCF8574A.pdf</x:v>
      </x:c>
      <x:c r="F9" s="201" t="str">
        <x:v>Expansor I2C usado por el backpack del LCD.</x:v>
      </x:c>
    </x:row>
    <x:row r="10" ht="48" customHeight="1">
      <x:c r="A10" s="201" t="n">
        <x:v>6</x:v>
      </x:c>
      <x:c r="B10" s="201" t="str">
        <x:v>BSS138</x:v>
      </x:c>
      <x:c r="C10" s="201" t="str">
        <x:v>Datasheet oficial</x:v>
      </x:c>
      <x:c r="D10" s="201" t="str">
        <x:v>onsemi</x:v>
      </x:c>
      <x:c r="E10" s="201" t="str">
        <x:v>https://www.onsemi.com/pdf/datasheet/bss138-d.pdf</x:v>
      </x:c>
      <x:c r="F10" s="201" t="str">
        <x:v>MOSFET usado en el conversor bidireccional de nivel.</x:v>
      </x:c>
    </x:row>
    <x:row r="11" ht="48" customHeight="1">
      <x:c r="A11" s="201" t="n">
        <x:v>7</x:v>
      </x:c>
      <x:c r="B11" s="201" t="str">
        <x:v>SSR-40DA</x:v>
      </x:c>
      <x:c r="C11" s="201" t="str">
        <x:v>Ficha técnica de familia</x:v>
      </x:c>
      <x:c r="D11" s="201" t="str">
        <x:v>Sigma / fabricante genérico</x:v>
      </x:c>
      <x:c r="E11" s="201" t="str">
        <x:v>https://www.sigmaelectronica.net/wp-content/uploads/2017/08/SSR40DA.pdf</x:v>
      </x:c>
      <x:c r="F11" s="201" t="str">
        <x:v>Entrada DC, salida AC y características del relé sólido.</x:v>
      </x:c>
    </x:row>
    <x:row r="12" ht="48" customHeight="1">
      <x:c r="A12" s="201" t="n">
        <x:v>8</x:v>
      </x:c>
      <x:c r="B12" s="201" t="str">
        <x:v>2N2222 / P2N2222A</x:v>
      </x:c>
      <x:c r="C12" s="201" t="str">
        <x:v>Datasheet oficial</x:v>
      </x:c>
      <x:c r="D12" s="201" t="str">
        <x:v>onsemi</x:v>
      </x:c>
      <x:c r="E12" s="201" t="str">
        <x:v>https://www.onsemi.com/pdf/datasheet/p2n2222a-d.pdf</x:v>
      </x:c>
      <x:c r="F12" s="201" t="str">
        <x:v>Tensión/corriente y parámetros del transistor NPN.</x:v>
      </x:c>
    </x:row>
    <x:row r="13" ht="48" customHeight="1">
      <x:c r="A13" s="201" t="n">
        <x:v>9</x:v>
      </x:c>
      <x:c r="B13" s="201" t="str">
        <x:v>LJX-9×50 110 VAC 180 W</x:v>
      </x:c>
      <x:c r="C13" s="201" t="str">
        <x:v>Ficha exacta del proveedor</x:v>
      </x:c>
      <x:c r="D13" s="201" t="str">
        <x:v>Didácticas Electrónicas</x:v>
      </x:c>
      <x:c r="E13" s="201" t="str">
        <x:v>https://www.didacticaselectronicas.com/shop/ljx-9x50-110vac-180w-elemento-calefactor-de-cartucho-9x50mm-180w-24051</x:v>
      </x:c>
      <x:c r="F13" s="201" t="str">
        <x:v>Tensión, potencia, material y dimensiones del cartucho calefactor.</x:v>
      </x:c>
    </x:row>
    <x:row r="14" ht="48" customHeight="1">
      <x:c r="A14" s="201" t="n">
        <x:v>10</x:v>
      </x:c>
      <x:c r="B14" s="201" t="str">
        <x:v>JGY370 12 V 30 RPM</x:v>
      </x:c>
      <x:c r="C14" s="201" t="str">
        <x:v>Ficha exacta del proveedor</x:v>
      </x:c>
      <x:c r="D14" s="201" t="str">
        <x:v>Didácticas Electrónicas</x:v>
      </x:c>
      <x:c r="E14" s="201" t="str">
        <x:v>https://www.didacticaselectronicas.com/shop/jgy370-12v-30rpm-motor-de-engranaje-metalico-12v-30rpm-40967</x:v>
      </x:c>
      <x:c r="F14" s="201" t="str">
        <x:v>Velocidad, torque, corriente y dimensiones del motorreductor.</x:v>
      </x:c>
    </x:row>
    <x:row r="15" ht="48" customHeight="1">
      <x:c r="A15" s="201" t="n">
        <x:v>11</x:v>
      </x:c>
      <x:c r="B15" s="201" t="str">
        <x:v>L298 / módulo L298N</x:v>
      </x:c>
      <x:c r="C15" s="201" t="str">
        <x:v>Datasheet oficial del IC</x:v>
      </x:c>
      <x:c r="D15" s="201" t="str">
        <x:v>STMicroelectronics</x:v>
      </x:c>
      <x:c r="E15" s="201" t="str">
        <x:v>https://www.st.com/resource/en/datasheet/l298.pdf</x:v>
      </x:c>
      <x:c r="F15" s="201" t="str">
        <x:v>Puente H, tensiones y corrientes del driver.</x:v>
      </x:c>
    </x:row>
    <x:row r="16" ht="48" customHeight="1">
      <x:c r="A16" s="201" t="n">
        <x:v>12</x:v>
      </x:c>
      <x:c r="B16" s="201" t="str">
        <x:v>Mean Well LRS-50-12</x:v>
      </x:c>
      <x:c r="C16" s="201" t="str">
        <x:v>Datasheet exacto de fuente</x:v>
      </x:c>
      <x:c r="D16" s="201" t="str">
        <x:v>Mean Well / Sigma</x:v>
      </x:c>
      <x:c r="E16" s="201" t="str">
        <x:v>https://www.sigmaelectronica.net/wp-content/uploads/2017/06/LRS-50-12.pdf</x:v>
      </x:c>
      <x:c r="F16" s="201" t="str">
        <x:v>Entrada AC, salida 12 V/4.2 A, potencia y protecciones.</x:v>
      </x:c>
    </x:row>
    <x:row r="17" ht="48" customHeight="1">
      <x:c r="A17" s="201" t="n">
        <x:v>13</x:v>
      </x:c>
      <x:c r="B17" s="201" t="str">
        <x:v>LM2596</x:v>
      </x:c>
      <x:c r="C17" s="201" t="str">
        <x:v>Datasheet oficial del IC</x:v>
      </x:c>
      <x:c r="D17" s="201" t="str">
        <x:v>Texas Instruments</x:v>
      </x:c>
      <x:c r="E17" s="201" t="str">
        <x:v>https://www.ti.com/lit/ds/symlink/lm2596.pdf</x:v>
      </x:c>
      <x:c r="F17" s="201" t="str">
        <x:v>Regulador step-down, tensión de entrada y capacidad de corriente.</x:v>
      </x:c>
    </x:row>
    <x:row r="18" ht="48" customHeight="1">
      <x:c r="A18" s="201" t="n">
        <x:v>14</x:v>
      </x:c>
      <x:c r="B18" s="201" t="str">
        <x:v>Módulo LM2596</x:v>
      </x:c>
      <x:c r="C18" s="201" t="str">
        <x:v>Ficha del módulo</x:v>
      </x:c>
      <x:c r="D18" s="201" t="str">
        <x:v>Sigma Electrónica</x:v>
      </x:c>
      <x:c r="E18" s="201" t="str">
        <x:v>https://www.sigmaelectronica.net/wp-content/uploads/2017/09/Tarjeta-LM2596-Ficha-t%C3%A9cnica.pdf</x:v>
      </x:c>
      <x:c r="F18" s="201" t="str">
        <x:v>Rango práctico del módulo ajustable comprado.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f8fdf814fbc44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48" t="str">
        <x:v>Resumen de selección — Tostador automatizado</x:v>
      </x:c>
      <x:c r="B1" s="348"/>
      <x:c r="C1" s="348"/>
      <x:c r="D1" s="348"/>
      <x:c r="E1" s="348"/>
      <x:c r="F1" s="348"/>
      <x:c r="G1" s="348"/>
      <x:c r="H1" s="348"/>
    </x:row>
    <x:row r="2">
      <x:c r="A2" s="349" t="str">
        <x:v>Selección cerrada para un prototipo académico simple, económico y realizable.</x:v>
      </x:c>
      <x:c r="B2" s="349"/>
      <x:c r="C2" s="349"/>
      <x:c r="D2" s="349"/>
      <x:c r="E2" s="349"/>
      <x:c r="F2" s="349"/>
      <x:c r="G2" s="349"/>
      <x:c r="H2" s="349"/>
    </x:row>
    <x:row r="3">
      <x:c r="A3" s="350"/>
      <x:c r="B3" s="350"/>
      <x:c r="C3" s="350"/>
      <x:c r="D3" s="350"/>
      <x:c r="E3" s="350"/>
      <x:c r="F3" s="350"/>
      <x:c r="G3" s="350"/>
      <x:c r="H3" s="350"/>
    </x:row>
    <x:row r="4">
      <x:c r="A4" s="351" t="str">
        <x:v>Indicador</x:v>
      </x:c>
      <x:c r="B4" s="351" t="str">
        <x:v>Valor</x:v>
      </x:c>
      <x:c r="C4" s="350"/>
      <x:c r="D4" s="352" t="str">
        <x:v>Decisiones de diseño cerradas</x:v>
      </x:c>
      <x:c r="E4" s="352"/>
      <x:c r="F4" s="352"/>
      <x:c r="G4" s="352"/>
      <x:c r="H4" s="352"/>
    </x:row>
    <x:row r="5">
      <x:c r="A5" s="201" t="str">
        <x:v>Costo confirmado de componentes</x:v>
      </x:c>
      <x:c r="B5" s="353" t="n">
        <x:f>SUMIF('avl.bom'!J7:J27,"Confirmado",'avl.bom'!I7:I27)</x:f>
        <x:v>289324.52</x:v>
      </x:c>
      <x:c r="C5" s="350"/>
      <x:c r="D5" s="201" t="str">
        <x:v>Control: ESP32-WROOM-32D; sin depender de Internet.</x:v>
      </x:c>
      <x:c r="E5" s="201"/>
      <x:c r="F5" s="201"/>
      <x:c r="G5" s="201"/>
      <x:c r="H5" s="201"/>
    </x:row>
    <x:row r="6">
      <x:c r="A6" s="201" t="str">
        <x:v>Partidas aún por cotizar</x:v>
      </x:c>
      <x:c r="B6" s="201" t="n">
        <x:f>COUNTIF('avl.bom'!J7:J27,"Por cotizar")</x:f>
        <x:v>6</x:v>
      </x:c>
      <x:c r="C6" s="350"/>
      <x:c r="D6" s="201" t="str">
        <x:v>Temperatura: termocupla K + MAX6675 por SPI.</x:v>
      </x:c>
      <x:c r="E6" s="201"/>
      <x:c r="F6" s="201"/>
      <x:c r="G6" s="201"/>
      <x:c r="H6" s="201"/>
    </x:row>
    <x:row r="7">
      <x:c r="A7" s="201" t="str">
        <x:v>Potencia térmica instalada</x:v>
      </x:c>
      <x:c r="B7" s="201" t="str">
        <x:v>360 W</x:v>
      </x:c>
      <x:c r="C7" s="350"/>
      <x:c r="D7" s="201" t="str">
        <x:v>Calentamiento: 2 cartuchos de 110 VAC / 180 W controlados por SSR-40DA.</x:v>
      </x:c>
      <x:c r="E7" s="201"/>
      <x:c r="F7" s="201"/>
      <x:c r="G7" s="201"/>
      <x:c r="H7" s="201"/>
    </x:row>
    <x:row r="8">
      <x:c r="A8" s="201" t="str">
        <x:v>Capacidad nominal propuesta</x:v>
      </x:c>
      <x:c r="B8" s="201" t="str">
        <x:v>~100 g/ciclo</x:v>
      </x:c>
      <x:c r="C8" s="350"/>
      <x:c r="D8" s="201" t="str">
        <x:v>Agitación: JGY370 12 V / 30 RPM + L298N.</x:v>
      </x:c>
      <x:c r="E8" s="201"/>
      <x:c r="F8" s="201"/>
      <x:c r="G8" s="201"/>
      <x:c r="H8" s="201"/>
    </x:row>
    <x:row r="9">
      <x:c r="A9" s="350"/>
      <x:c r="B9" s="350"/>
      <x:c r="C9" s="350"/>
      <x:c r="D9" s="201" t="str">
        <x:v>Alimentación: 12 V / 4.2 A + LM2596 a 5 V.</x:v>
      </x:c>
      <x:c r="E9" s="201"/>
      <x:c r="F9" s="201"/>
      <x:c r="G9" s="201"/>
      <x:c r="H9" s="201"/>
    </x:row>
    <x:row r="10">
      <x:c r="A10" s="350"/>
      <x:c r="B10" s="350"/>
      <x:c r="C10" s="350"/>
      <x:c r="D10" s="201" t="str">
        <x:v>Interfaz: LCD 16×2 I2C + 3 pulsadores.</x:v>
      </x:c>
      <x:c r="E10" s="201"/>
      <x:c r="F10" s="201"/>
      <x:c r="G10" s="201"/>
      <x:c r="H10" s="201"/>
    </x:row>
    <x:row r="11">
      <x:c r="A11" s="350"/>
      <x:c r="B11" s="350"/>
      <x:c r="C11" s="350"/>
      <x:c r="D11" s="201" t="str">
        <x:v>Seguridad: fusible de entrada, separación AC/DC y protección por software.</x:v>
      </x:c>
      <x:c r="E11" s="201"/>
      <x:c r="F11" s="201"/>
      <x:c r="G11" s="201"/>
      <x:c r="H11" s="201"/>
    </x:row>
    <x:row r="12">
      <x:c r="A12" s="350"/>
      <x:c r="B12" s="350"/>
      <x:c r="C12" s="350"/>
      <x:c r="D12" s="350"/>
      <x:c r="E12" s="350"/>
      <x:c r="F12" s="350"/>
      <x:c r="G12" s="350"/>
      <x:c r="H12" s="350"/>
    </x:row>
    <x:row r="13">
      <x:c r="A13" s="351" t="str">
        <x:v>Qué falta cotizar localmente antes de comprar</x:v>
      </x:c>
      <x:c r="B13" s="351"/>
      <x:c r="C13" s="351"/>
      <x:c r="D13" s="351"/>
      <x:c r="E13" s="351"/>
      <x:c r="F13" s="351"/>
      <x:c r="G13" s="351"/>
      <x:c r="H13" s="351"/>
    </x:row>
    <x:row r="14">
      <x:c r="A14" s="371" t="str">
        <x:v>Elemento</x:v>
      </x:c>
      <x:c r="B14" s="371"/>
      <x:c r="C14" s="371" t="str">
        <x:v>Motivo</x:v>
      </x:c>
      <x:c r="D14" s="371"/>
      <x:c r="E14" s="371"/>
      <x:c r="F14" s="371" t="str">
        <x:v>Qué medir / definir</x:v>
      </x:c>
      <x:c r="G14" s="371"/>
      <x:c r="H14" s="371"/>
    </x:row>
    <x:row r="15" ht="34" customHeight="1">
      <x:c r="A15" s="374" t="str">
        <x:v>Disipador / placa para SSR</x:v>
      </x:c>
      <x:c r="B15" s="374"/>
      <x:c r="C15" s="374" t="str">
        <x:v>Depende del montaje físico</x:v>
      </x:c>
      <x:c r="D15" s="374"/>
      <x:c r="E15" s="374"/>
      <x:c r="F15" s="374" t="str">
        <x:v>Superficie disponible y método de fijación.</x:v>
      </x:c>
      <x:c r="G15" s="374"/>
      <x:c r="H15" s="374"/>
    </x:row>
    <x:row r="16" ht="34" customHeight="1">
      <x:c r="A16" s="374" t="str">
        <x:v>Recipiente inoxidable</x:v>
      </x:c>
      <x:c r="B16" s="374"/>
      <x:c r="C16" s="374" t="str">
        <x:v>Depende del tamaño final</x:v>
      </x:c>
      <x:c r="D16" s="374"/>
      <x:c r="E16" s="374"/>
      <x:c r="F16" s="374" t="str">
        <x:v>Diámetro y profundidad para ~100 g.</x:v>
      </x:c>
      <x:c r="G16" s="374"/>
      <x:c r="H16" s="374"/>
    </x:row>
    <x:row r="17" ht="34" customHeight="1">
      <x:c r="A17" s="374" t="str">
        <x:v>Bloque difusor de aluminio</x:v>
      </x:c>
      <x:c r="B17" s="374"/>
      <x:c r="C17" s="374" t="str">
        <x:v>Debe mecanizarse para los 2 cartuchos</x:v>
      </x:c>
      <x:c r="D17" s="374"/>
      <x:c r="E17" s="374"/>
      <x:c r="F17" s="374" t="str">
        <x:v>Dos alojamientos Ø9 mm y buen contacto térmico.</x:v>
      </x:c>
      <x:c r="G17" s="374"/>
      <x:c r="H17" s="374"/>
    </x:row>
    <x:row r="18" ht="34" customHeight="1">
      <x:c r="A18" s="374" t="str">
        <x:v>Eje + paleta</x:v>
      </x:c>
      <x:c r="B18" s="374"/>
      <x:c r="C18" s="374" t="str">
        <x:v>Depende del recipiente</x:v>
      </x:c>
      <x:c r="D18" s="374"/>
      <x:c r="E18" s="374"/>
      <x:c r="F18" s="374" t="str">
        <x:v>Longitud, diámetro y geometría de la paleta.</x:v>
      </x:c>
      <x:c r="G18" s="374"/>
      <x:c r="H18" s="374"/>
    </x:row>
    <x:row r="19" ht="34" customHeight="1">
      <x:c r="A19" s="374" t="str">
        <x:v>Acople y cableado/caja</x:v>
      </x:c>
      <x:c r="B19" s="374"/>
      <x:c r="C19" s="374" t="str">
        <x:v>Depende del montaje</x:v>
      </x:c>
      <x:c r="D19" s="374"/>
      <x:c r="E19" s="374"/>
      <x:c r="F19" s="374" t="str">
        <x:v>Diámetros de ejes, distancias y ruta segura del cableado.</x:v>
      </x:c>
      <x:c r="G19" s="374"/>
      <x:c r="H19" s="374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A13:H13"/>
    <x:mergeCell ref="A14:B14"/>
    <x:mergeCell ref="C14:E14"/>
    <x:mergeCell ref="F14:H14"/>
    <x:mergeCell ref="A15:B15"/>
    <x:mergeCell ref="C15:E15"/>
    <x:mergeCell ref="F15:H15"/>
    <x:mergeCell ref="A16:B16"/>
    <x:mergeCell ref="C16:E16"/>
    <x:mergeCell ref="F16:H16"/>
    <x:mergeCell ref="A17:B17"/>
    <x:mergeCell ref="C17:E17"/>
    <x:mergeCell ref="F17:H17"/>
    <x:mergeCell ref="A18:B18"/>
    <x:mergeCell ref="C18:E18"/>
    <x:mergeCell ref="F18:H18"/>
    <x:mergeCell ref="A19:B19"/>
    <x:mergeCell ref="C19:E19"/>
    <x:mergeCell ref="F19:H19"/>
  </x:mergeCells>
  <x:pageMargins left="0.7" right="0.7" top="0.75" bottom="0.75" header="0.3" footer="0.3"/>
</x:worksheet>
</file>